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3" codeName="{83B8AF0C-AF01-CA8F-8D1D-96F9A44741E3}"/>
  <workbookPr filterPrivacy="1" codeName="ThisWorkbook" defaultThemeVersion="124226"/>
  <xr:revisionPtr revIDLastSave="0" documentId="13_ncr:1_{B1E9F440-5046-2F42-AF2E-69E9F95407CF}" xr6:coauthVersionLast="45" xr6:coauthVersionMax="45" xr10:uidLastSave="{00000000-0000-0000-0000-000000000000}"/>
  <bookViews>
    <workbookView xWindow="0" yWindow="460" windowWidth="25600" windowHeight="15360" firstSheet="6" activeTab="1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Database'!$B$3:$K$3</definedName>
    <definedName name="_xlchart.v1.0" hidden="1">'Bridge Chart'!$B$4:$B$8</definedName>
    <definedName name="_xlchart.v1.1" hidden="1">'Bridge Chart'!$C$4:$C$8</definedName>
    <definedName name="_xlchart.v1.2" hidden="1">'Bridge Chart'!$B$4:$B$8</definedName>
    <definedName name="_xlchart.v1.3" hidden="1">'Bridge Chart'!$C$4:$C$8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27" l="1"/>
  <c r="C7" i="27"/>
  <c r="C5" i="27"/>
  <c r="C6" i="27" l="1"/>
  <c r="C4" i="27"/>
  <c r="E6" i="28" l="1"/>
  <c r="D6" i="28"/>
  <c r="C6" i="28"/>
  <c r="E5" i="28"/>
  <c r="D5" i="28"/>
  <c r="C5" i="28"/>
  <c r="E4" i="28"/>
  <c r="D4" i="28"/>
  <c r="C4" i="28"/>
  <c r="E6" i="29"/>
  <c r="D6" i="29"/>
  <c r="C6" i="29"/>
  <c r="E5" i="29"/>
  <c r="D5" i="29"/>
  <c r="C5" i="29"/>
  <c r="E4" i="29"/>
  <c r="D4" i="29"/>
  <c r="C4" i="29"/>
  <c r="E29" i="21"/>
  <c r="D29" i="21"/>
  <c r="C29" i="21"/>
  <c r="E28" i="21"/>
  <c r="D28" i="21"/>
  <c r="C28" i="21"/>
  <c r="E27" i="21"/>
  <c r="D27" i="21"/>
  <c r="C27" i="21"/>
  <c r="H24" i="21"/>
  <c r="G24" i="21"/>
  <c r="H23" i="21"/>
  <c r="G23" i="21"/>
  <c r="H22" i="21"/>
  <c r="G22" i="21"/>
  <c r="H21" i="21"/>
  <c r="G21" i="21"/>
  <c r="H20" i="21"/>
  <c r="G20" i="21"/>
  <c r="H19" i="21"/>
  <c r="G19" i="21"/>
  <c r="H18" i="21"/>
  <c r="G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H6" i="21"/>
  <c r="G6" i="21"/>
  <c r="H5" i="21"/>
  <c r="G5" i="21"/>
  <c r="H4" i="21"/>
  <c r="G4" i="21"/>
  <c r="K108" i="10" l="1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C4" i="21"/>
  <c r="C7" i="21" s="1"/>
  <c r="E23" i="21"/>
  <c r="D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C10" i="21"/>
  <c r="E8" i="21"/>
  <c r="D8" i="21"/>
  <c r="C8" i="21"/>
  <c r="E6" i="21"/>
  <c r="D6" i="21"/>
  <c r="C6" i="21"/>
  <c r="E5" i="21"/>
  <c r="E7" i="21" s="1"/>
  <c r="D5" i="21"/>
  <c r="C5" i="21"/>
  <c r="E4" i="21"/>
  <c r="D4" i="21"/>
  <c r="D7" i="21" s="1"/>
  <c r="D9" i="21" s="1"/>
  <c r="D17" i="21" l="1"/>
  <c r="D19" i="21" s="1"/>
  <c r="D22" i="21" s="1"/>
  <c r="D24" i="21" s="1"/>
  <c r="C9" i="21"/>
  <c r="C17" i="21" s="1"/>
  <c r="C19" i="21" s="1"/>
  <c r="C22" i="21" s="1"/>
  <c r="C24" i="21" s="1"/>
  <c r="E9" i="21"/>
  <c r="E17" i="21" s="1"/>
  <c r="E19" i="21" s="1"/>
  <c r="E22" i="21" s="1"/>
  <c r="E24" i="21" s="1"/>
  <c r="H94" i="10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D108" i="10"/>
  <c r="D107" i="10"/>
  <c r="D106" i="10"/>
  <c r="D105" i="10"/>
  <c r="D104" i="10"/>
  <c r="D103" i="10"/>
  <c r="D102" i="10"/>
  <c r="D101" i="10"/>
  <c r="D100" i="10"/>
  <c r="D99" i="10"/>
  <c r="D98" i="10"/>
  <c r="D97" i="10"/>
  <c r="D96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E95" i="10"/>
  <c r="D95" i="10"/>
  <c r="C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E61" i="10"/>
  <c r="D61" i="10"/>
  <c r="C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<sst xmlns="http://schemas.openxmlformats.org/spreadsheetml/2006/main" count="981" uniqueCount="263">
  <si>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</si>
  <si>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</si>
  <si>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</si>
  <si>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</si>
  <si>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</si>
  <si>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</si>
  <si>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</si>
  <si>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</si>
  <si>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</si>
  <si>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</si>
  <si>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</si>
  <si>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</si>
  <si>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</si>
  <si>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</si>
  <si>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</si>
  <si>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</si>
  <si>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</si>
  <si>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</si>
  <si>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</si>
  <si>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</si>
  <si>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</si>
  <si>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</si>
  <si>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</si>
  <si>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</si>
  <si>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</si>
  <si>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</si>
  <si>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</si>
  <si>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</si>
  <si>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</si>
  <si>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</si>
  <si>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</si>
  <si>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</si>
  <si>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</si>
  <si>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</si>
  <si>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</si>
  <si>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</si>
  <si>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</si>
  <si>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</si>
  <si>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</si>
  <si>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</si>
  <si>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</si>
  <si>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</si>
  <si>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</si>
  <si>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</si>
  <si>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</si>
  <si>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</si>
  <si>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</si>
  <si>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</si>
  <si>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</si>
  <si>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</si>
  <si>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</si>
  <si>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</si>
  <si>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</si>
  <si>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</si>
  <si>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</si>
  <si>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</si>
  <si>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</si>
  <si>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</si>
  <si>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</si>
  <si>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</si>
  <si>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</si>
  <si>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</si>
  <si>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</si>
  <si>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</si>
  <si>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</si>
  <si>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</si>
  <si>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</si>
  <si>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</si>
  <si>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</si>
  <si>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</si>
  <si>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</si>
  <si>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</si>
  <si>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</si>
  <si>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</si>
  <si>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</si>
  <si>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</si>
  <si>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</si>
  <si>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</si>
  <si>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</si>
  <si>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</si>
  <si>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</si>
  <si>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</si>
  <si>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</si>
  <si>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</si>
  <si>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</si>
  <si>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</si>
  <si>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</si>
  <si>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</si>
  <si>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</si>
  <si>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</si>
  <si>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</si>
  <si>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</si>
  <si>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</si>
  <si>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</si>
  <si>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</si>
  <si>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</si>
  <si>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</si>
  <si>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</si>
  <si>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</si>
  <si>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</si>
  <si>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</si>
  <si>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</si>
  <si>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</si>
  <si>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</si>
  <si>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</si>
  <si>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</si>
  <si>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</si>
  <si>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</si>
  <si>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</si>
  <si>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</si>
  <si>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</si>
  <si>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</si>
  <si>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</si>
  <si>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</si>
  <si>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</si>
  <si>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</si>
  <si>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2001190000111111</t>
  </si>
  <si>
    <t>2001110000111111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</si>
  <si>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</si>
  <si>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</si>
  <si>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</si>
  <si>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</si>
  <si>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</si>
  <si>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</si>
  <si>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</si>
  <si>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</si>
  <si>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</si>
  <si>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</si>
  <si>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</si>
  <si>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</si>
  <si>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</si>
  <si>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</si>
  <si>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</si>
  <si>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</si>
  <si>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</si>
  <si>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</si>
  <si>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</si>
  <si>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</si>
  <si>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</si>
  <si>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</si>
  <si>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</si>
  <si>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</si>
  <si>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</si>
  <si>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</si>
  <si>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</si>
  <si>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</si>
  <si>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</si>
  <si>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</si>
  <si>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</si>
  <si>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</si>
  <si>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</si>
  <si>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</si>
  <si>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</si>
  <si>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</si>
  <si>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</si>
  <si>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</si>
  <si>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</si>
  <si>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</si>
  <si>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</si>
  <si>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</si>
  <si>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</si>
  <si>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</si>
  <si>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</si>
  <si>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</si>
  <si>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</si>
  <si>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</si>
  <si>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</si>
  <si>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</si>
  <si>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</si>
  <si>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</si>
  <si>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</si>
  <si>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</si>
  <si>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</si>
  <si>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</si>
  <si>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</si>
  <si>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</si>
  <si>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</si>
  <si>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</si>
  <si>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</si>
  <si>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</si>
  <si>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</si>
  <si>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</si>
  <si>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</si>
  <si>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</si>
  <si>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</si>
  <si>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</si>
  <si>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</si>
  <si>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</si>
  <si>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</si>
  <si>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</si>
  <si>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</si>
  <si>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</si>
  <si>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</si>
  <si>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</si>
  <si>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</si>
  <si>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</si>
  <si>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</si>
  <si>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</si>
  <si>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</si>
  <si>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</si>
  <si>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</si>
  <si>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</si>
  <si>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</si>
  <si>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</si>
  <si>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</si>
  <si>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</si>
  <si>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</si>
  <si>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</si>
  <si>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</si>
  <si>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</si>
  <si>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</si>
  <si>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</si>
  <si>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</si>
  <si>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</si>
  <si>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</si>
  <si>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</si>
  <si>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</si>
  <si>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</si>
  <si>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</si>
  <si>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</si>
  <si>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</si>
  <si>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</si>
  <si>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</si>
  <si>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</si>
  <si>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</si>
  <si>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</si>
  <si>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</si>
  <si>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</si>
  <si>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</si>
  <si>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</si>
  <si>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</si>
  <si>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</si>
  <si>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</si>
  <si>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</si>
  <si>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</si>
  <si>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</si>
  <si>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</si>
  <si>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</si>
  <si>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Total revenues</t>
  </si>
  <si>
    <t>Gross margin</t>
  </si>
  <si>
    <t>EBITDA</t>
  </si>
  <si>
    <t>EBIT</t>
  </si>
  <si>
    <t>EBT</t>
  </si>
  <si>
    <t>P&amp;L Statement</t>
  </si>
  <si>
    <t>EUR in millions</t>
  </si>
  <si>
    <t>Var% FY16-FY17</t>
  </si>
  <si>
    <t>Var% FY17-FY18</t>
  </si>
  <si>
    <t>KPIs</t>
  </si>
  <si>
    <t>GM%</t>
  </si>
  <si>
    <t>EBITDA%</t>
  </si>
  <si>
    <t>EBIT%</t>
  </si>
  <si>
    <t>Gross Margin</t>
  </si>
  <si>
    <t>Fy 16</t>
  </si>
  <si>
    <t>Fy 17</t>
  </si>
  <si>
    <t>Fy 18</t>
  </si>
  <si>
    <t>FY 16</t>
  </si>
  <si>
    <t>FY 17</t>
  </si>
  <si>
    <t>FY 18</t>
  </si>
  <si>
    <t>EBITDA FY17</t>
  </si>
  <si>
    <t>Change in Revenues</t>
  </si>
  <si>
    <t>Change in Variable 
costs</t>
  </si>
  <si>
    <t>Change in Opex</t>
  </si>
  <si>
    <t>EBITDA 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</si>
</sst>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80" formatCode="0.0_);\(0.0\)"/>
    <numFmt numFmtId="181" formatCode="_(* #,##0.0_);_(* \(#,##0.0\);_(* &quot;-&quot;??_);_(@_)"/>
    <numFmt numFmtId="182" formatCode="0.0"/>
  </numFmts>
  <fonts count="2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0" fillId="3" borderId="3" xfId="0" applyFont="1" applyFill="1" applyBorder="1"/>
    <xf numFmtId="0" fontId="21" fillId="2" borderId="4" xfId="0" applyFont="1" applyFill="1" applyBorder="1"/>
    <xf numFmtId="180" fontId="18" fillId="2" borderId="0" xfId="0" applyNumberFormat="1" applyFont="1" applyFill="1" applyAlignment="1">
      <alignment horizontal="right"/>
    </xf>
    <xf numFmtId="180" fontId="18" fillId="2" borderId="3" xfId="0" applyNumberFormat="1" applyFont="1" applyFill="1" applyBorder="1" applyAlignment="1">
      <alignment horizontal="right"/>
    </xf>
    <xf numFmtId="180" fontId="20" fillId="3" borderId="3" xfId="0" applyNumberFormat="1" applyFont="1" applyFill="1" applyBorder="1" applyAlignment="1">
      <alignment horizontal="right"/>
    </xf>
    <xf numFmtId="180" fontId="21" fillId="2" borderId="4" xfId="0" applyNumberFormat="1" applyFont="1" applyFill="1" applyBorder="1" applyAlignment="1">
      <alignment horizontal="right"/>
    </xf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2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2" fillId="2" borderId="4" xfId="4" applyFont="1" applyFill="1" applyBorder="1" applyAlignment="1">
      <alignment horizontal="right"/>
    </xf>
    <xf numFmtId="0" fontId="23" fillId="5" borderId="0" xfId="0" applyFont="1" applyFill="1"/>
    <xf numFmtId="181" fontId="23" fillId="5" borderId="0" xfId="0" applyNumberFormat="1" applyFont="1" applyFill="1"/>
    <xf numFmtId="9" fontId="23" fillId="5" borderId="0" xfId="4" applyFont="1" applyFill="1" applyBorder="1"/>
    <xf numFmtId="10" fontId="0" fillId="2" borderId="0" xfId="0" applyNumberFormat="1" applyFill="1"/>
    <xf numFmtId="182" fontId="1" fillId="2" borderId="0" xfId="0" applyNumberFormat="1" applyFont="1" applyFill="1"/>
    <xf numFmtId="181" fontId="1" fillId="2" borderId="0" xfId="0" applyNumberFormat="1" applyFont="1" applyFill="1"/>
    <xf numFmtId="181" fontId="1" fillId="2" borderId="0" xfId="0" applyNumberFormat="1" applyFont="1" applyFill="1" applyAlignment="1">
      <alignment wrapText="1"/>
    </xf>
    <xf numFmtId="0" fontId="0" fillId="0" borderId="0" xfId="0" quotePrefix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'Stacked column'!$C$4:$E$4</c:f>
              <c:numCache>
                <c:formatCode>0.0_);\(0.0\)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A-3C40-B8C3-92E52AB5C8A9}"/>
            </c:ext>
          </c:extLst>
        </c:ser>
        <c:ser>
          <c:idx val="1"/>
          <c:order val="1"/>
          <c:tx>
            <c:strRef>
              <c:f>'Stacked column'!$B$5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'Stacked column'!$C$5:$E$5</c:f>
              <c:numCache>
                <c:formatCode>0.0_);\(0.0\)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CA-3C40-B8C3-92E52AB5C8A9}"/>
            </c:ext>
          </c:extLst>
        </c:ser>
        <c:ser>
          <c:idx val="2"/>
          <c:order val="2"/>
          <c:tx>
            <c:strRef>
              <c:f>'Stacked column'!$B$6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'Stacked column'!$C$6:$E$6</c:f>
              <c:numCache>
                <c:formatCode>0.0_);\(0.0\)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CA-3C40-B8C3-92E52AB5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15951312"/>
        <c:axId val="1015952944"/>
      </c:barChart>
      <c:lineChart>
        <c:grouping val="standard"/>
        <c:varyColors val="0"/>
        <c:ser>
          <c:idx val="3"/>
          <c:order val="3"/>
          <c:tx>
            <c:strRef>
              <c:f>'Stacked column'!$B$7</c:f>
              <c:strCache>
                <c:ptCount val="1"/>
                <c:pt idx="0">
                  <c:v>Gross Margin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'Stacked column'!$C$3:$E$3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'Stacked column'!$C$7:$E$7</c:f>
              <c:numCache>
                <c:formatCode>0.00%</c:formatCode>
                <c:ptCount val="3"/>
                <c:pt idx="0">
                  <c:v>0.80300000000000005</c:v>
                </c:pt>
                <c:pt idx="1">
                  <c:v>0.79</c:v>
                </c:pt>
                <c:pt idx="2">
                  <c:v>0.78400000000000003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3CA-3C40-B8C3-92E52AB5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1001984"/>
        <c:axId val="1018793616"/>
      </c:lineChart>
      <c:catAx>
        <c:axId val="101595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15952944"/>
        <c:crosses val="autoZero"/>
        <c:auto val="1"/>
        <c:lblAlgn val="ctr"/>
        <c:lblOffset val="100"/>
        <c:noMultiLvlLbl val="0"/>
      </c:catAx>
      <c:valAx>
        <c:axId val="101595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15951312"/>
        <c:crosses val="autoZero"/>
        <c:crossBetween val="between"/>
      </c:valAx>
      <c:valAx>
        <c:axId val="10187936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21001984"/>
        <c:crosses val="max"/>
        <c:crossBetween val="between"/>
      </c:valAx>
      <c:catAx>
        <c:axId val="1021001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879361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Breakdown</a:t>
            </a:r>
            <a:r>
              <a:rPr lang="en-US" baseline="0"/>
              <a:t> of Reveneues of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03-0745-A8EA-1079A2847E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chart'!$E$4:$E$6</c:f>
              <c:numCache>
                <c:formatCode>0.0_);\(0.0\)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3-0745-A8EA-1079A2847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7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 b="1">
                <a:solidFill>
                  <a:schemeClr val="tx2"/>
                </a:solidFill>
              </a:rPr>
              <a:t>FY16-FY18</a:t>
            </a:r>
            <a:r>
              <a:rPr lang="en-US" sz="800" b="1" baseline="0">
                <a:solidFill>
                  <a:schemeClr val="tx2"/>
                </a:solidFill>
              </a:rPr>
              <a:t> Revenues &amp; Gross Margin %</a:t>
            </a:r>
            <a:endParaRPr lang="en-US" sz="800" b="1">
              <a:solidFill>
                <a:schemeClr val="tx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chart'!$B$4</c:f>
              <c:strCache>
                <c:ptCount val="1"/>
                <c:pt idx="0">
                  <c:v>Total 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'Area chart'!$C$3:$E$3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'Area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B3-2543-8DF1-4A5E536F3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218560"/>
        <c:axId val="1018954176"/>
      </c:areaChart>
      <c:lineChart>
        <c:grouping val="standard"/>
        <c:varyColors val="0"/>
        <c:ser>
          <c:idx val="1"/>
          <c:order val="1"/>
          <c:tx>
            <c:strRef>
              <c:f>'Area chart'!$B$5</c:f>
              <c:strCache>
                <c:ptCount val="1"/>
                <c:pt idx="0">
                  <c:v>Gross Margin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'Area chart'!$C$5:$E$5</c:f>
              <c:numCache>
                <c:formatCode>0.00%</c:formatCode>
                <c:ptCount val="3"/>
                <c:pt idx="0">
                  <c:v>0.80300000000000005</c:v>
                </c:pt>
                <c:pt idx="1">
                  <c:v>0.79</c:v>
                </c:pt>
                <c:pt idx="2">
                  <c:v>0.78400000000000003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B3-2543-8DF1-4A5E536F3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2796336"/>
        <c:axId val="1018474448"/>
      </c:lineChart>
      <c:catAx>
        <c:axId val="103621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18954176"/>
        <c:crosses val="autoZero"/>
        <c:auto val="1"/>
        <c:lblAlgn val="ctr"/>
        <c:lblOffset val="100"/>
        <c:noMultiLvlLbl val="0"/>
      </c:catAx>
      <c:valAx>
        <c:axId val="1018954176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lt1">
                  <a:shade val="50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6218560"/>
        <c:crosses val="autoZero"/>
        <c:crossBetween val="between"/>
        <c:majorUnit val="2"/>
      </c:valAx>
      <c:valAx>
        <c:axId val="10184744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2796336"/>
        <c:crosses val="max"/>
        <c:crossBetween val="between"/>
      </c:valAx>
      <c:catAx>
        <c:axId val="103279633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84744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EBITDA Bridge Chart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EBITDA Bridge Chart</a:t>
          </a:r>
        </a:p>
      </cx:txPr>
    </cx:title>
    <cx:plotArea>
      <cx:plotAreaRegion>
        <cx:series layoutId="waterfall" uniqueId="{D1139071-4038-2341-93F6-9FDF336820DD}">
          <cx:dataPt idx="0"/>
          <cx:dataPt idx="4"/>
          <cx:dataLabels pos="outEnd"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8</xdr:row>
      <xdr:rowOff>12700</xdr:rowOff>
    </xdr:from>
    <xdr:to>
      <xdr:col>15</xdr:col>
      <xdr:colOff>171450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9E793F-3C31-6546-989E-2998B4C55D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311150</xdr:colOff>
      <xdr:row>10</xdr:row>
      <xdr:rowOff>95250</xdr:rowOff>
    </xdr:from>
    <xdr:to>
      <xdr:col>15</xdr:col>
      <xdr:colOff>171450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11CC87-7C9F-7A49-9D98-94E23C2112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171450</xdr:rowOff>
    </xdr:from>
    <xdr:to>
      <xdr:col>13</xdr:col>
      <xdr:colOff>190500</xdr:colOff>
      <xdr:row>19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F4DAE2-3385-7143-BDF1-CC485C4C19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565150</xdr:colOff>
      <xdr:row>2</xdr:row>
      <xdr:rowOff>95250</xdr:rowOff>
    </xdr:from>
    <xdr:to>
      <xdr:col>13</xdr:col>
      <xdr:colOff>393700</xdr:colOff>
      <xdr:row>19</xdr:row>
      <xdr:rowOff>25400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FDB8BD26-A719-CD40-8C02-E0C233ECD7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3450" y="476250"/>
              <a:ext cx="5886450" cy="3321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baseColWidth="10" defaultColWidth="9.1640625" defaultRowHeight="15" x14ac:dyDescent="0.2"/>
  <cols>
    <col min="1" max="1" width="2" style="1" customWidth="1"/>
    <col min="2" max="16384" width="9.1640625" style="1"/>
  </cols>
  <sheetData>
    <row r="12" spans="2:2" ht="40" x14ac:dyDescent="0.4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baseColWidth="10" defaultColWidth="9.1640625" defaultRowHeight="12" x14ac:dyDescent="0.15"/>
  <cols>
    <col min="1" max="1" width="2" style="2" customWidth="1"/>
    <col min="2" max="2" width="10" style="2" customWidth="1"/>
    <col min="3" max="3" width="26" style="2" customWidth="1"/>
    <col min="4" max="4" width="19.5" style="2" customWidth="1"/>
    <col min="5" max="16384" width="9.1640625" style="2"/>
  </cols>
  <sheetData>
    <row r="1" spans="2:4" ht="16" x14ac:dyDescent="0.2">
      <c r="B1" s="3" t="s">
        <v>108</v>
      </c>
    </row>
    <row r="2" spans="2:4" x14ac:dyDescent="0.15">
      <c r="B2" s="7" t="s">
        <v>57</v>
      </c>
    </row>
    <row r="4" spans="2:4" ht="14" thickBot="1" x14ac:dyDescent="0.2">
      <c r="B4" s="13" t="s">
        <v>58</v>
      </c>
      <c r="C4" s="13" t="s">
        <v>59</v>
      </c>
      <c r="D4" s="13" t="s">
        <v>60</v>
      </c>
    </row>
    <row r="5" spans="2:4" x14ac:dyDescent="0.15">
      <c r="B5" s="8">
        <v>1</v>
      </c>
      <c r="C5" s="15" t="s">
        <v>61</v>
      </c>
    </row>
    <row r="6" spans="2:4" x14ac:dyDescent="0.15">
      <c r="B6" s="11">
        <v>2</v>
      </c>
      <c r="C6" s="12" t="s">
        <v>62</v>
      </c>
      <c r="D6" s="12"/>
    </row>
    <row r="7" spans="2:4" x14ac:dyDescent="0.15">
      <c r="B7" s="8">
        <v>3</v>
      </c>
      <c r="C7" s="23" t="s">
        <v>109</v>
      </c>
    </row>
    <row r="8" spans="2:4" x14ac:dyDescent="0.15">
      <c r="B8" s="8">
        <v>4</v>
      </c>
      <c r="C8" s="23" t="s">
        <v>110</v>
      </c>
    </row>
    <row r="9" spans="2:4" x14ac:dyDescent="0.15">
      <c r="B9" s="8">
        <v>5</v>
      </c>
      <c r="C9" s="23" t="s">
        <v>111</v>
      </c>
    </row>
    <row r="10" spans="2:4" x14ac:dyDescent="0.15">
      <c r="B10" s="11">
        <v>6</v>
      </c>
      <c r="C10" s="12" t="s">
        <v>63</v>
      </c>
      <c r="D10" s="12"/>
    </row>
    <row r="11" spans="2:4" x14ac:dyDescent="0.15">
      <c r="B11" s="8">
        <v>7</v>
      </c>
      <c r="C11" s="15" t="s">
        <v>92</v>
      </c>
    </row>
    <row r="12" spans="2:4" x14ac:dyDescent="0.15">
      <c r="B12" s="8">
        <v>8</v>
      </c>
      <c r="C12" s="15" t="s">
        <v>93</v>
      </c>
    </row>
    <row r="13" spans="2:4" x14ac:dyDescent="0.15">
      <c r="B13" s="9">
        <v>19</v>
      </c>
      <c r="C13" s="12" t="s">
        <v>94</v>
      </c>
      <c r="D13" s="10"/>
    </row>
    <row r="14" spans="2:4" x14ac:dyDescent="0.15">
      <c r="B14" s="8">
        <v>20</v>
      </c>
      <c r="C14" s="15" t="s">
        <v>95</v>
      </c>
    </row>
    <row r="15" spans="2:4" x14ac:dyDescent="0.15">
      <c r="B15" s="8">
        <v>21</v>
      </c>
      <c r="C15" s="15" t="s">
        <v>96</v>
      </c>
    </row>
    <row r="16" spans="2:4" x14ac:dyDescent="0.15">
      <c r="B16" s="8">
        <v>22</v>
      </c>
      <c r="C16" s="15" t="s">
        <v>97</v>
      </c>
    </row>
    <row r="17" spans="2:3" x14ac:dyDescent="0.15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F12" sqref="F12"/>
    </sheetView>
  </sheetViews>
  <sheetFormatPr baseColWidth="10" defaultColWidth="9.1640625" defaultRowHeight="12" x14ac:dyDescent="0.15"/>
  <cols>
    <col min="1" max="1" width="2" style="2" customWidth="1"/>
    <col min="2" max="16384" width="9.1640625" style="2"/>
  </cols>
  <sheetData>
    <row r="1" spans="2:2" ht="16" x14ac:dyDescent="0.2">
      <c r="B1" s="3"/>
    </row>
    <row r="12" spans="2:2" ht="40" x14ac:dyDescent="0.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H1" sqref="H1:H1048576"/>
    </sheetView>
  </sheetViews>
  <sheetFormatPr baseColWidth="10" defaultColWidth="9.1640625" defaultRowHeight="12" x14ac:dyDescent="0.15"/>
  <cols>
    <col min="1" max="1" width="2" style="2" customWidth="1"/>
    <col min="2" max="2" width="22.83203125" style="2" customWidth="1"/>
    <col min="3" max="3" width="30" style="2" customWidth="1"/>
    <col min="4" max="4" width="23.83203125" style="2" bestFit="1" customWidth="1"/>
    <col min="5" max="5" width="36.5" style="2" bestFit="1" customWidth="1"/>
    <col min="6" max="6" width="11.6640625" style="2" bestFit="1" customWidth="1"/>
    <col min="7" max="7" width="13.83203125" style="2" customWidth="1"/>
    <col min="8" max="16384" width="9.1640625" style="2"/>
  </cols>
  <sheetData>
    <row r="1" spans="2:7" ht="16" x14ac:dyDescent="0.2">
      <c r="C1" s="3" t="s">
        <v>112</v>
      </c>
    </row>
    <row r="4" spans="2:7" x14ac:dyDescent="0.15">
      <c r="B4" s="2" t="s">
        <v>115</v>
      </c>
      <c r="C4" s="6" t="s">
        <v>99</v>
      </c>
      <c r="D4" s="6" t="s">
        <v>31</v>
      </c>
      <c r="E4" s="6" t="s">
        <v>100</v>
      </c>
      <c r="F4" s="6" t="s">
        <v>101</v>
      </c>
      <c r="G4" s="6" t="s">
        <v>102</v>
      </c>
    </row>
    <row r="5" spans="2:7" x14ac:dyDescent="0.15">
      <c r="B5" s="2" t="s">
        <v>117</v>
      </c>
      <c r="C5" s="6" t="s">
        <v>65</v>
      </c>
      <c r="D5" s="6">
        <v>111111</v>
      </c>
      <c r="E5" s="6" t="s">
        <v>103</v>
      </c>
      <c r="F5" s="16">
        <v>-14500341</v>
      </c>
      <c r="G5" s="17">
        <v>2001110000</v>
      </c>
    </row>
    <row r="6" spans="2:7" x14ac:dyDescent="0.15">
      <c r="B6" s="2" t="s">
        <v>116</v>
      </c>
      <c r="C6" s="6" t="s">
        <v>66</v>
      </c>
      <c r="D6" s="6">
        <v>111111</v>
      </c>
      <c r="E6" s="6" t="s">
        <v>103</v>
      </c>
      <c r="F6" s="16">
        <v>-4794856.1919999998</v>
      </c>
      <c r="G6" s="17">
        <v>2001190000</v>
      </c>
    </row>
    <row r="7" spans="2:7" x14ac:dyDescent="0.15">
      <c r="B7" s="2" t="s">
        <v>118</v>
      </c>
      <c r="C7" s="6" t="s">
        <v>67</v>
      </c>
      <c r="D7" s="6">
        <v>1009</v>
      </c>
      <c r="E7" s="6" t="s">
        <v>35</v>
      </c>
      <c r="F7" s="16">
        <v>-154890.4</v>
      </c>
      <c r="G7" s="17">
        <v>2020000000</v>
      </c>
    </row>
    <row r="8" spans="2:7" x14ac:dyDescent="0.15">
      <c r="B8" s="2" t="s">
        <v>119</v>
      </c>
      <c r="C8" s="6" t="s">
        <v>67</v>
      </c>
      <c r="D8" s="6">
        <v>1007</v>
      </c>
      <c r="E8" s="6" t="s">
        <v>37</v>
      </c>
      <c r="F8" s="16">
        <v>-1180894.0520000001</v>
      </c>
      <c r="G8" s="17">
        <v>2020000000</v>
      </c>
    </row>
    <row r="9" spans="2:7" x14ac:dyDescent="0.15">
      <c r="B9" s="2" t="s">
        <v>120</v>
      </c>
      <c r="C9" s="6" t="s">
        <v>67</v>
      </c>
      <c r="D9" s="6">
        <v>1008</v>
      </c>
      <c r="E9" s="6" t="s">
        <v>39</v>
      </c>
      <c r="F9" s="16">
        <v>-793079.51199999999</v>
      </c>
      <c r="G9" s="17">
        <v>2020000000</v>
      </c>
    </row>
    <row r="10" spans="2:7" x14ac:dyDescent="0.15">
      <c r="B10" s="2" t="s">
        <v>121</v>
      </c>
      <c r="C10" s="6" t="s">
        <v>67</v>
      </c>
      <c r="D10" s="6">
        <v>111101</v>
      </c>
      <c r="E10" s="6" t="s">
        <v>0</v>
      </c>
      <c r="F10" s="16">
        <v>-2277197.6</v>
      </c>
      <c r="G10" s="17">
        <v>2020000000</v>
      </c>
    </row>
    <row r="11" spans="2:7" x14ac:dyDescent="0.15">
      <c r="B11" s="2" t="s">
        <v>122</v>
      </c>
      <c r="C11" s="6" t="s">
        <v>104</v>
      </c>
      <c r="D11" s="6">
        <v>111111</v>
      </c>
      <c r="E11" s="6" t="s">
        <v>103</v>
      </c>
      <c r="F11" s="16">
        <v>4428911.7640000004</v>
      </c>
      <c r="G11" s="17">
        <v>2021900000</v>
      </c>
    </row>
    <row r="12" spans="2:7" x14ac:dyDescent="0.15">
      <c r="B12" s="2" t="s">
        <v>123</v>
      </c>
      <c r="C12" s="6" t="s">
        <v>69</v>
      </c>
      <c r="D12" s="6">
        <v>111111</v>
      </c>
      <c r="E12" s="6" t="s">
        <v>103</v>
      </c>
      <c r="F12" s="16">
        <v>16977.628000000001</v>
      </c>
      <c r="G12" s="17">
        <v>2024080000</v>
      </c>
    </row>
    <row r="13" spans="2:7" x14ac:dyDescent="0.15">
      <c r="B13" s="2" t="s">
        <v>124</v>
      </c>
      <c r="C13" s="6" t="s">
        <v>68</v>
      </c>
      <c r="D13" s="6">
        <v>88</v>
      </c>
      <c r="E13" s="6" t="s">
        <v>32</v>
      </c>
      <c r="F13" s="16">
        <v>2245437.54</v>
      </c>
      <c r="G13" s="17">
        <v>2024090000</v>
      </c>
    </row>
    <row r="14" spans="2:7" x14ac:dyDescent="0.15">
      <c r="B14" s="2" t="s">
        <v>125</v>
      </c>
      <c r="C14" s="6" t="s">
        <v>68</v>
      </c>
      <c r="D14" s="6">
        <v>111111</v>
      </c>
      <c r="E14" s="6" t="s">
        <v>103</v>
      </c>
      <c r="F14" s="16">
        <v>16605.634000000002</v>
      </c>
      <c r="G14" s="17">
        <v>2024090000</v>
      </c>
    </row>
    <row r="15" spans="2:7" x14ac:dyDescent="0.15">
      <c r="B15" s="2" t="s">
        <v>126</v>
      </c>
      <c r="C15" s="6" t="s">
        <v>1</v>
      </c>
      <c r="D15" s="6">
        <v>111111</v>
      </c>
      <c r="E15" s="6" t="s">
        <v>103</v>
      </c>
      <c r="F15" s="16">
        <v>4683394.0460000001</v>
      </c>
      <c r="G15" s="17">
        <v>2041000000</v>
      </c>
    </row>
    <row r="16" spans="2:7" x14ac:dyDescent="0.15">
      <c r="B16" s="2" t="s">
        <v>127</v>
      </c>
      <c r="C16" s="6" t="s">
        <v>70</v>
      </c>
      <c r="D16" s="6">
        <v>111101</v>
      </c>
      <c r="E16" s="6" t="s">
        <v>0</v>
      </c>
      <c r="F16" s="16">
        <v>1143051.5760000001</v>
      </c>
      <c r="G16" s="17">
        <v>2042000000</v>
      </c>
    </row>
    <row r="17" spans="2:7" x14ac:dyDescent="0.15">
      <c r="B17" s="2" t="s">
        <v>128</v>
      </c>
      <c r="C17" s="6" t="s">
        <v>70</v>
      </c>
      <c r="D17" s="6">
        <v>88</v>
      </c>
      <c r="E17" s="6" t="s">
        <v>32</v>
      </c>
      <c r="F17" s="16">
        <v>239379.61800000002</v>
      </c>
      <c r="G17" s="17">
        <v>2042000000</v>
      </c>
    </row>
    <row r="18" spans="2:7" x14ac:dyDescent="0.15">
      <c r="B18" s="2" t="s">
        <v>129</v>
      </c>
      <c r="C18" s="6" t="s">
        <v>71</v>
      </c>
      <c r="D18" s="6">
        <v>111101</v>
      </c>
      <c r="E18" s="6" t="s">
        <v>0</v>
      </c>
      <c r="F18" s="16">
        <v>104913.8</v>
      </c>
      <c r="G18" s="17">
        <v>2045000000</v>
      </c>
    </row>
    <row r="19" spans="2:7" x14ac:dyDescent="0.15">
      <c r="B19" s="2" t="s">
        <v>130</v>
      </c>
      <c r="C19" s="6" t="s">
        <v>72</v>
      </c>
      <c r="D19" s="6">
        <v>111101</v>
      </c>
      <c r="E19" s="6" t="s">
        <v>0</v>
      </c>
      <c r="F19" s="16">
        <v>2003262.2180000001</v>
      </c>
      <c r="G19" s="17">
        <v>2051210000</v>
      </c>
    </row>
    <row r="20" spans="2:7" x14ac:dyDescent="0.15">
      <c r="B20" s="2" t="s">
        <v>131</v>
      </c>
      <c r="C20" s="6" t="s">
        <v>72</v>
      </c>
      <c r="D20" s="6">
        <v>1</v>
      </c>
      <c r="E20" s="6" t="s">
        <v>0</v>
      </c>
      <c r="F20" s="16">
        <v>41981.296000000002</v>
      </c>
      <c r="G20" s="17">
        <v>2051210000</v>
      </c>
    </row>
    <row r="21" spans="2:7" x14ac:dyDescent="0.15">
      <c r="B21" s="2" t="s">
        <v>132</v>
      </c>
      <c r="C21" s="6" t="s">
        <v>73</v>
      </c>
      <c r="D21" s="6" t="s">
        <v>3</v>
      </c>
      <c r="E21" s="6" t="s">
        <v>40</v>
      </c>
      <c r="F21" s="16">
        <v>-2156147.4</v>
      </c>
      <c r="G21" s="17">
        <v>2069010000</v>
      </c>
    </row>
    <row r="22" spans="2:7" x14ac:dyDescent="0.15">
      <c r="B22" s="2" t="s">
        <v>133</v>
      </c>
      <c r="C22" s="6" t="s">
        <v>73</v>
      </c>
      <c r="D22" s="6">
        <v>14</v>
      </c>
      <c r="E22" s="6" t="s">
        <v>41</v>
      </c>
      <c r="F22" s="16">
        <v>-291428.55199999997</v>
      </c>
      <c r="G22" s="17">
        <v>2069010000</v>
      </c>
    </row>
    <row r="23" spans="2:7" x14ac:dyDescent="0.15">
      <c r="B23" s="2" t="s">
        <v>134</v>
      </c>
      <c r="C23" s="6" t="s">
        <v>73</v>
      </c>
      <c r="D23" s="6">
        <v>1037</v>
      </c>
      <c r="E23" s="6" t="s">
        <v>46</v>
      </c>
      <c r="F23" s="16">
        <v>0</v>
      </c>
      <c r="G23" s="17">
        <v>2069010000</v>
      </c>
    </row>
    <row r="24" spans="2:7" x14ac:dyDescent="0.15">
      <c r="B24" s="2" t="s">
        <v>135</v>
      </c>
      <c r="C24" s="6" t="s">
        <v>73</v>
      </c>
      <c r="D24" s="6" t="s">
        <v>4</v>
      </c>
      <c r="E24" s="6" t="s">
        <v>45</v>
      </c>
      <c r="F24" s="16">
        <v>-33736.5</v>
      </c>
      <c r="G24" s="17">
        <v>2069010000</v>
      </c>
    </row>
    <row r="25" spans="2:7" x14ac:dyDescent="0.15">
      <c r="B25" s="2" t="s">
        <v>136</v>
      </c>
      <c r="C25" s="6" t="s">
        <v>73</v>
      </c>
      <c r="D25" s="6">
        <v>1009</v>
      </c>
      <c r="E25" s="6" t="s">
        <v>35</v>
      </c>
      <c r="F25" s="16">
        <v>0</v>
      </c>
      <c r="G25" s="17">
        <v>2069010000</v>
      </c>
    </row>
    <row r="26" spans="2:7" x14ac:dyDescent="0.15">
      <c r="B26" s="2" t="s">
        <v>137</v>
      </c>
      <c r="C26" s="6" t="s">
        <v>73</v>
      </c>
      <c r="D26" s="6">
        <v>1007</v>
      </c>
      <c r="E26" s="6" t="s">
        <v>37</v>
      </c>
      <c r="F26" s="16">
        <v>0</v>
      </c>
      <c r="G26" s="17">
        <v>2069010000</v>
      </c>
    </row>
    <row r="27" spans="2:7" x14ac:dyDescent="0.15">
      <c r="B27" s="2" t="s">
        <v>138</v>
      </c>
      <c r="C27" s="6" t="s">
        <v>73</v>
      </c>
      <c r="D27" s="6">
        <v>1008</v>
      </c>
      <c r="E27" s="6" t="s">
        <v>39</v>
      </c>
      <c r="F27" s="16">
        <v>0</v>
      </c>
      <c r="G27" s="17">
        <v>2069010000</v>
      </c>
    </row>
    <row r="28" spans="2:7" x14ac:dyDescent="0.15">
      <c r="B28" s="2" t="s">
        <v>139</v>
      </c>
      <c r="C28" s="6" t="s">
        <v>73</v>
      </c>
      <c r="D28" s="6">
        <v>1240</v>
      </c>
      <c r="E28" s="6" t="s">
        <v>44</v>
      </c>
      <c r="F28" s="16">
        <v>-199600.4</v>
      </c>
      <c r="G28" s="17">
        <v>2069010000</v>
      </c>
    </row>
    <row r="29" spans="2:7" x14ac:dyDescent="0.15">
      <c r="B29" s="2" t="s">
        <v>140</v>
      </c>
      <c r="C29" s="6" t="s">
        <v>73</v>
      </c>
      <c r="D29" s="6">
        <v>111111</v>
      </c>
      <c r="E29" s="6" t="s">
        <v>103</v>
      </c>
      <c r="F29" s="16">
        <v>-539141.4</v>
      </c>
      <c r="G29" s="17">
        <v>2069010000</v>
      </c>
    </row>
    <row r="30" spans="2:7" x14ac:dyDescent="0.15">
      <c r="B30" s="2" t="s">
        <v>141</v>
      </c>
      <c r="C30" s="6" t="s">
        <v>74</v>
      </c>
      <c r="D30" s="6">
        <v>111111</v>
      </c>
      <c r="E30" s="6" t="s">
        <v>103</v>
      </c>
      <c r="F30" s="16">
        <v>-57.221999999999994</v>
      </c>
      <c r="G30" s="17">
        <v>2069980000</v>
      </c>
    </row>
    <row r="31" spans="2:7" x14ac:dyDescent="0.15">
      <c r="B31" s="2" t="s">
        <v>142</v>
      </c>
      <c r="C31" s="6" t="s">
        <v>75</v>
      </c>
      <c r="D31" s="6">
        <v>111111</v>
      </c>
      <c r="E31" s="6" t="s">
        <v>103</v>
      </c>
      <c r="F31" s="16">
        <v>22314.879999999997</v>
      </c>
      <c r="G31" s="17">
        <v>2070400000</v>
      </c>
    </row>
    <row r="32" spans="2:7" x14ac:dyDescent="0.15">
      <c r="B32" s="2" t="s">
        <v>143</v>
      </c>
      <c r="C32" s="6" t="s">
        <v>76</v>
      </c>
      <c r="D32" s="6">
        <v>88</v>
      </c>
      <c r="E32" s="6" t="s">
        <v>32</v>
      </c>
      <c r="F32" s="16">
        <v>204000</v>
      </c>
      <c r="G32" s="17">
        <v>2070500000</v>
      </c>
    </row>
    <row r="33" spans="2:7" x14ac:dyDescent="0.15">
      <c r="B33" s="2" t="s">
        <v>144</v>
      </c>
      <c r="C33" s="6" t="s">
        <v>76</v>
      </c>
      <c r="D33" s="6">
        <v>111111</v>
      </c>
      <c r="E33" s="6" t="s">
        <v>103</v>
      </c>
      <c r="F33" s="16">
        <v>138.41399999999999</v>
      </c>
      <c r="G33" s="17">
        <v>2070500000</v>
      </c>
    </row>
    <row r="34" spans="2:7" x14ac:dyDescent="0.15">
      <c r="B34" s="2" t="s">
        <v>145</v>
      </c>
      <c r="C34" s="6" t="s">
        <v>77</v>
      </c>
      <c r="D34" s="6">
        <v>111111</v>
      </c>
      <c r="E34" s="6" t="s">
        <v>103</v>
      </c>
      <c r="F34" s="16">
        <v>1127445.872</v>
      </c>
      <c r="G34" s="17">
        <v>2070600000</v>
      </c>
    </row>
    <row r="35" spans="2:7" x14ac:dyDescent="0.15">
      <c r="B35" s="2" t="s">
        <v>146</v>
      </c>
      <c r="C35" s="6" t="s">
        <v>78</v>
      </c>
      <c r="D35" s="6" t="s">
        <v>5</v>
      </c>
      <c r="E35" s="6" t="s">
        <v>42</v>
      </c>
      <c r="F35" s="16">
        <v>133722</v>
      </c>
      <c r="G35" s="17">
        <v>2070900000</v>
      </c>
    </row>
    <row r="36" spans="2:7" x14ac:dyDescent="0.15">
      <c r="B36" s="2" t="s">
        <v>147</v>
      </c>
      <c r="C36" s="6" t="s">
        <v>78</v>
      </c>
      <c r="D36" s="6" t="s">
        <v>6</v>
      </c>
      <c r="E36" s="6" t="s">
        <v>43</v>
      </c>
      <c r="F36" s="16">
        <v>328061.886</v>
      </c>
      <c r="G36" s="17">
        <v>2070900000</v>
      </c>
    </row>
    <row r="37" spans="2:7" x14ac:dyDescent="0.15">
      <c r="B37" s="2" t="s">
        <v>148</v>
      </c>
      <c r="C37" s="6" t="s">
        <v>78</v>
      </c>
      <c r="D37" s="6">
        <v>111111</v>
      </c>
      <c r="E37" s="6" t="s">
        <v>103</v>
      </c>
      <c r="F37" s="16">
        <v>2081304.3219999997</v>
      </c>
      <c r="G37" s="17">
        <v>2070900000</v>
      </c>
    </row>
    <row r="38" spans="2:7" x14ac:dyDescent="0.15">
      <c r="B38" s="2" t="s">
        <v>149</v>
      </c>
      <c r="C38" s="6" t="s">
        <v>7</v>
      </c>
      <c r="D38" s="6">
        <v>111111</v>
      </c>
      <c r="E38" s="6" t="s">
        <v>103</v>
      </c>
      <c r="F38" s="16">
        <v>33410.031999999999</v>
      </c>
      <c r="G38" s="17">
        <v>2071000000</v>
      </c>
    </row>
    <row r="39" spans="2:7" x14ac:dyDescent="0.15">
      <c r="B39" s="2" t="s">
        <v>150</v>
      </c>
      <c r="C39" s="6" t="s">
        <v>79</v>
      </c>
      <c r="D39" s="6">
        <v>111111</v>
      </c>
      <c r="E39" s="6" t="s">
        <v>103</v>
      </c>
      <c r="F39" s="16">
        <v>213090.85199999998</v>
      </c>
      <c r="G39" s="17">
        <v>2071100000</v>
      </c>
    </row>
    <row r="40" spans="2:7" x14ac:dyDescent="0.15">
      <c r="B40" s="2" t="s">
        <v>151</v>
      </c>
      <c r="C40" s="6" t="s">
        <v>8</v>
      </c>
      <c r="D40" s="6">
        <v>111111</v>
      </c>
      <c r="E40" s="6" t="s">
        <v>103</v>
      </c>
      <c r="F40" s="16">
        <v>1813525.004</v>
      </c>
      <c r="G40" s="17">
        <v>2071209200</v>
      </c>
    </row>
    <row r="41" spans="2:7" x14ac:dyDescent="0.15">
      <c r="B41" s="2" t="s">
        <v>152</v>
      </c>
      <c r="C41" s="6" t="s">
        <v>80</v>
      </c>
      <c r="D41" s="6">
        <v>111111</v>
      </c>
      <c r="E41" s="6" t="s">
        <v>103</v>
      </c>
      <c r="F41" s="16">
        <v>5552.2</v>
      </c>
      <c r="G41" s="17">
        <v>2071209400</v>
      </c>
    </row>
    <row r="42" spans="2:7" x14ac:dyDescent="0.15">
      <c r="B42" s="2" t="s">
        <v>153</v>
      </c>
      <c r="C42" s="6" t="s">
        <v>81</v>
      </c>
      <c r="D42" s="6">
        <v>111111</v>
      </c>
      <c r="E42" s="6" t="s">
        <v>103</v>
      </c>
      <c r="F42" s="16">
        <v>43868.975999999995</v>
      </c>
      <c r="G42" s="17">
        <v>2071209500</v>
      </c>
    </row>
    <row r="43" spans="2:7" x14ac:dyDescent="0.15">
      <c r="B43" s="2" t="s">
        <v>154</v>
      </c>
      <c r="C43" s="6" t="s">
        <v>82</v>
      </c>
      <c r="D43" s="6">
        <v>111101</v>
      </c>
      <c r="E43" s="6" t="s">
        <v>0</v>
      </c>
      <c r="F43" s="16">
        <v>10934.671999999999</v>
      </c>
      <c r="G43" s="17">
        <v>2071980000</v>
      </c>
    </row>
    <row r="44" spans="2:7" x14ac:dyDescent="0.15">
      <c r="B44" s="2" t="s">
        <v>155</v>
      </c>
      <c r="C44" s="6" t="s">
        <v>83</v>
      </c>
      <c r="D44" s="6">
        <v>111111</v>
      </c>
      <c r="E44" s="6" t="s">
        <v>103</v>
      </c>
      <c r="F44" s="16">
        <v>20400</v>
      </c>
      <c r="G44" s="17">
        <v>2079022000</v>
      </c>
    </row>
    <row r="45" spans="2:7" x14ac:dyDescent="0.15">
      <c r="B45" s="2" t="s">
        <v>156</v>
      </c>
      <c r="C45" s="6" t="s">
        <v>84</v>
      </c>
      <c r="D45" s="6">
        <v>105</v>
      </c>
      <c r="E45" s="6" t="s">
        <v>33</v>
      </c>
      <c r="F45" s="16">
        <v>0</v>
      </c>
      <c r="G45" s="17">
        <v>2079070000</v>
      </c>
    </row>
    <row r="46" spans="2:7" x14ac:dyDescent="0.15">
      <c r="B46" s="2" t="s">
        <v>157</v>
      </c>
      <c r="C46" s="6" t="s">
        <v>84</v>
      </c>
      <c r="D46" s="6">
        <v>111111</v>
      </c>
      <c r="E46" s="6" t="s">
        <v>103</v>
      </c>
      <c r="F46" s="16">
        <v>563918.152</v>
      </c>
      <c r="G46" s="17">
        <v>2079070000</v>
      </c>
    </row>
    <row r="47" spans="2:7" x14ac:dyDescent="0.15">
      <c r="B47" s="2" t="s">
        <v>158</v>
      </c>
      <c r="C47" s="6" t="s">
        <v>85</v>
      </c>
      <c r="D47" s="6">
        <v>1009</v>
      </c>
      <c r="E47" s="6" t="s">
        <v>35</v>
      </c>
      <c r="F47" s="16">
        <v>0</v>
      </c>
      <c r="G47" s="17">
        <v>2079080000</v>
      </c>
    </row>
    <row r="48" spans="2:7" x14ac:dyDescent="0.15">
      <c r="B48" s="2" t="s">
        <v>159</v>
      </c>
      <c r="C48" s="6" t="s">
        <v>85</v>
      </c>
      <c r="D48" s="6">
        <v>1007</v>
      </c>
      <c r="E48" s="6" t="s">
        <v>37</v>
      </c>
      <c r="F48" s="16">
        <v>0</v>
      </c>
      <c r="G48" s="17">
        <v>2079080000</v>
      </c>
    </row>
    <row r="49" spans="2:7" x14ac:dyDescent="0.15">
      <c r="B49" s="2" t="s">
        <v>160</v>
      </c>
      <c r="C49" s="6" t="s">
        <v>85</v>
      </c>
      <c r="D49" s="6">
        <v>1008</v>
      </c>
      <c r="E49" s="6" t="s">
        <v>39</v>
      </c>
      <c r="F49" s="16">
        <v>0</v>
      </c>
      <c r="G49" s="17">
        <v>2079080000</v>
      </c>
    </row>
    <row r="50" spans="2:7" x14ac:dyDescent="0.15">
      <c r="B50" s="2" t="s">
        <v>161</v>
      </c>
      <c r="C50" s="6" t="s">
        <v>86</v>
      </c>
      <c r="D50" s="6">
        <v>1009</v>
      </c>
      <c r="E50" s="6" t="s">
        <v>35</v>
      </c>
      <c r="F50" s="16">
        <v>0</v>
      </c>
      <c r="G50" s="17">
        <v>2082280000</v>
      </c>
    </row>
    <row r="51" spans="2:7" x14ac:dyDescent="0.15">
      <c r="B51" s="2" t="s">
        <v>162</v>
      </c>
      <c r="C51" s="6" t="s">
        <v>86</v>
      </c>
      <c r="D51" s="6">
        <v>1007</v>
      </c>
      <c r="E51" s="6" t="s">
        <v>37</v>
      </c>
      <c r="F51" s="16">
        <v>0</v>
      </c>
      <c r="G51" s="17">
        <v>2082280000</v>
      </c>
    </row>
    <row r="52" spans="2:7" x14ac:dyDescent="0.15">
      <c r="B52" s="2" t="s">
        <v>163</v>
      </c>
      <c r="C52" s="6" t="s">
        <v>86</v>
      </c>
      <c r="D52" s="6">
        <v>1008</v>
      </c>
      <c r="E52" s="6" t="s">
        <v>39</v>
      </c>
      <c r="F52" s="16">
        <v>0</v>
      </c>
      <c r="G52" s="17">
        <v>2082280000</v>
      </c>
    </row>
    <row r="53" spans="2:7" x14ac:dyDescent="0.15">
      <c r="B53" s="2" t="s">
        <v>164</v>
      </c>
      <c r="C53" s="6" t="s">
        <v>86</v>
      </c>
      <c r="D53" s="6">
        <v>1240</v>
      </c>
      <c r="E53" s="6" t="s">
        <v>44</v>
      </c>
      <c r="F53" s="16">
        <v>-35810.228000000003</v>
      </c>
      <c r="G53" s="17">
        <v>2082280000</v>
      </c>
    </row>
    <row r="54" spans="2:7" x14ac:dyDescent="0.15">
      <c r="B54" s="2" t="s">
        <v>165</v>
      </c>
      <c r="C54" s="6" t="s">
        <v>86</v>
      </c>
      <c r="D54" s="6">
        <v>111111</v>
      </c>
      <c r="E54" s="6" t="s">
        <v>103</v>
      </c>
      <c r="F54" s="16">
        <v>-51927.417999999998</v>
      </c>
      <c r="G54" s="17">
        <v>2082280000</v>
      </c>
    </row>
    <row r="55" spans="2:7" x14ac:dyDescent="0.15">
      <c r="B55" s="2" t="s">
        <v>166</v>
      </c>
      <c r="C55" s="6" t="s">
        <v>9</v>
      </c>
      <c r="D55" s="6">
        <v>111101</v>
      </c>
      <c r="E55" s="6" t="s">
        <v>0</v>
      </c>
      <c r="F55" s="16">
        <v>-862270.63399999996</v>
      </c>
      <c r="G55" s="17">
        <v>2082202000</v>
      </c>
    </row>
    <row r="56" spans="2:7" x14ac:dyDescent="0.15">
      <c r="B56" s="2" t="s">
        <v>167</v>
      </c>
      <c r="C56" s="6" t="s">
        <v>87</v>
      </c>
      <c r="D56" s="6">
        <v>111101</v>
      </c>
      <c r="E56" s="6" t="s">
        <v>0</v>
      </c>
      <c r="F56" s="16">
        <v>22763</v>
      </c>
      <c r="G56" s="17">
        <v>2082208200</v>
      </c>
    </row>
    <row r="57" spans="2:7" x14ac:dyDescent="0.15">
      <c r="B57" s="2" t="s">
        <v>168</v>
      </c>
      <c r="C57" s="6" t="s">
        <v>88</v>
      </c>
      <c r="D57" s="6">
        <v>88</v>
      </c>
      <c r="E57" s="6" t="s">
        <v>32</v>
      </c>
      <c r="F57" s="16">
        <v>2930430.0120000001</v>
      </c>
      <c r="G57" s="17">
        <v>2082214000</v>
      </c>
    </row>
    <row r="58" spans="2:7" x14ac:dyDescent="0.15">
      <c r="B58" s="2" t="s">
        <v>169</v>
      </c>
      <c r="C58" s="6" t="s">
        <v>89</v>
      </c>
      <c r="D58" s="6">
        <v>111101</v>
      </c>
      <c r="E58" s="6" t="s">
        <v>0</v>
      </c>
      <c r="F58" s="16">
        <v>-49378.641999999993</v>
      </c>
      <c r="G58" s="17">
        <v>2091200000</v>
      </c>
    </row>
    <row r="59" spans="2:7" x14ac:dyDescent="0.15">
      <c r="B59" s="2" t="s">
        <v>170</v>
      </c>
      <c r="C59" s="6" t="s">
        <v>90</v>
      </c>
      <c r="D59" s="6">
        <v>111101</v>
      </c>
      <c r="E59" s="6" t="s">
        <v>0</v>
      </c>
      <c r="F59" s="16">
        <v>516250.67</v>
      </c>
      <c r="G59" s="17">
        <v>2091200001</v>
      </c>
    </row>
    <row r="60" spans="2:7" x14ac:dyDescent="0.15">
      <c r="B60" s="2" t="s">
        <v>171</v>
      </c>
      <c r="C60" s="6" t="s">
        <v>91</v>
      </c>
      <c r="D60" s="6">
        <v>111101</v>
      </c>
      <c r="E60" s="6" t="s">
        <v>0</v>
      </c>
      <c r="F60" s="16">
        <v>21593.093999999997</v>
      </c>
      <c r="G60" s="17">
        <v>2092200000</v>
      </c>
    </row>
    <row r="61" spans="2:7" x14ac:dyDescent="0.15">
      <c r="B61" s="2" t="s">
        <v>172</v>
      </c>
      <c r="C61" s="18" t="s">
        <v>64</v>
      </c>
      <c r="D61" s="18">
        <v>111101</v>
      </c>
      <c r="E61" s="18" t="s">
        <v>0</v>
      </c>
      <c r="F61" s="19">
        <v>-2904117.9939999986</v>
      </c>
      <c r="G61" s="20">
        <v>2999999999</v>
      </c>
    </row>
    <row r="62" spans="2:7" x14ac:dyDescent="0.15">
      <c r="D62" s="6"/>
      <c r="G62" s="5"/>
    </row>
    <row r="63" spans="2:7" x14ac:dyDescent="0.15">
      <c r="D63" s="6"/>
      <c r="G63" s="5"/>
    </row>
    <row r="64" spans="2:7" x14ac:dyDescent="0.15">
      <c r="D64" s="6"/>
      <c r="G64" s="5"/>
    </row>
    <row r="65" spans="4:7" x14ac:dyDescent="0.15">
      <c r="D65" s="6"/>
      <c r="G65" s="5"/>
    </row>
    <row r="66" spans="4:7" x14ac:dyDescent="0.15">
      <c r="D66" s="6"/>
      <c r="G66" s="5"/>
    </row>
    <row r="67" spans="4:7" x14ac:dyDescent="0.15">
      <c r="D67" s="6"/>
      <c r="G67" s="5"/>
    </row>
    <row r="68" spans="4:7" x14ac:dyDescent="0.15">
      <c r="D68" s="6"/>
      <c r="G68" s="5"/>
    </row>
    <row r="69" spans="4:7" x14ac:dyDescent="0.15">
      <c r="D69" s="6"/>
      <c r="G69" s="5"/>
    </row>
    <row r="70" spans="4:7" x14ac:dyDescent="0.15">
      <c r="D70" s="6"/>
      <c r="G70" s="5"/>
    </row>
    <row r="71" spans="4:7" x14ac:dyDescent="0.15">
      <c r="D71" s="6"/>
      <c r="G71" s="5"/>
    </row>
    <row r="72" spans="4:7" x14ac:dyDescent="0.15">
      <c r="D72" s="6"/>
      <c r="G72" s="5"/>
    </row>
    <row r="73" spans="4:7" x14ac:dyDescent="0.15">
      <c r="D73" s="6"/>
      <c r="G73" s="5"/>
    </row>
    <row r="74" spans="4:7" x14ac:dyDescent="0.15">
      <c r="D74" s="6"/>
      <c r="G74" s="5"/>
    </row>
    <row r="75" spans="4:7" x14ac:dyDescent="0.15">
      <c r="D75" s="6"/>
      <c r="G75" s="5"/>
    </row>
    <row r="76" spans="4:7" x14ac:dyDescent="0.15">
      <c r="D76" s="6"/>
      <c r="G76" s="5"/>
    </row>
    <row r="77" spans="4:7" x14ac:dyDescent="0.15">
      <c r="D77" s="6"/>
      <c r="G77" s="5"/>
    </row>
    <row r="78" spans="4:7" x14ac:dyDescent="0.15">
      <c r="D78" s="6"/>
      <c r="G78" s="5"/>
    </row>
    <row r="79" spans="4:7" x14ac:dyDescent="0.15">
      <c r="D79" s="6"/>
      <c r="G79" s="5"/>
    </row>
    <row r="80" spans="4:7" x14ac:dyDescent="0.15">
      <c r="D80" s="6"/>
      <c r="G80" s="5"/>
    </row>
    <row r="81" spans="4:7" x14ac:dyDescent="0.15">
      <c r="D81" s="6"/>
      <c r="G81" s="5"/>
    </row>
    <row r="82" spans="4:7" x14ac:dyDescent="0.15">
      <c r="D82" s="6"/>
      <c r="G82" s="5"/>
    </row>
    <row r="83" spans="4:7" x14ac:dyDescent="0.15">
      <c r="D83" s="6"/>
      <c r="G83" s="5"/>
    </row>
    <row r="84" spans="4:7" x14ac:dyDescent="0.15">
      <c r="D84" s="6"/>
      <c r="G84" s="5"/>
    </row>
    <row r="85" spans="4:7" x14ac:dyDescent="0.15">
      <c r="D85" s="6"/>
      <c r="G85" s="5"/>
    </row>
    <row r="86" spans="4:7" x14ac:dyDescent="0.15">
      <c r="D86" s="6"/>
      <c r="G86" s="5"/>
    </row>
    <row r="87" spans="4:7" x14ac:dyDescent="0.15">
      <c r="D87" s="6"/>
      <c r="G87" s="5"/>
    </row>
    <row r="88" spans="4:7" x14ac:dyDescent="0.15">
      <c r="D88" s="6"/>
      <c r="G88" s="5"/>
    </row>
    <row r="89" spans="4:7" x14ac:dyDescent="0.15">
      <c r="D89" s="6"/>
      <c r="G89" s="5"/>
    </row>
    <row r="90" spans="4:7" x14ac:dyDescent="0.15">
      <c r="D90" s="6"/>
      <c r="G90" s="5"/>
    </row>
    <row r="91" spans="4:7" x14ac:dyDescent="0.15">
      <c r="D91" s="6"/>
      <c r="G91" s="5"/>
    </row>
    <row r="92" spans="4:7" x14ac:dyDescent="0.15">
      <c r="D92" s="6"/>
      <c r="G92" s="5"/>
    </row>
    <row r="93" spans="4:7" x14ac:dyDescent="0.15">
      <c r="D93" s="6"/>
      <c r="G93" s="5"/>
    </row>
    <row r="94" spans="4:7" x14ac:dyDescent="0.15">
      <c r="D94" s="6"/>
      <c r="G94" s="5"/>
    </row>
    <row r="95" spans="4:7" x14ac:dyDescent="0.15">
      <c r="D95" s="6"/>
      <c r="G95" s="5"/>
    </row>
    <row r="96" spans="4:7" x14ac:dyDescent="0.15">
      <c r="D96" s="6"/>
      <c r="G96" s="5"/>
    </row>
  </sheetData>
  <autoFilter ref="C4:G61" xr:uid="{5AC81554-A7B1-2341-A9DB-76A4604E5F5A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topLeftCell="A54" workbookViewId="0">
      <selection activeCell="H1" sqref="H1:H1048576"/>
    </sheetView>
  </sheetViews>
  <sheetFormatPr baseColWidth="10" defaultColWidth="9.1640625" defaultRowHeight="12" x14ac:dyDescent="0.15"/>
  <cols>
    <col min="1" max="1" width="2" style="2" customWidth="1"/>
    <col min="2" max="2" width="20" style="2" customWidth="1"/>
    <col min="3" max="3" width="34.83203125" style="2" bestFit="1" customWidth="1"/>
    <col min="4" max="4" width="21.1640625" style="2" bestFit="1" customWidth="1"/>
    <col min="5" max="5" width="37.5" style="2" bestFit="1" customWidth="1"/>
    <col min="6" max="6" width="11.5" style="2" bestFit="1" customWidth="1"/>
    <col min="7" max="7" width="11" style="2" bestFit="1" customWidth="1"/>
    <col min="8" max="16384" width="9.1640625" style="2"/>
  </cols>
  <sheetData>
    <row r="1" spans="2:7" ht="16" x14ac:dyDescent="0.2">
      <c r="C1" s="3" t="s">
        <v>113</v>
      </c>
    </row>
    <row r="4" spans="2:7" x14ac:dyDescent="0.15">
      <c r="B4" s="2" t="s">
        <v>115</v>
      </c>
      <c r="C4" s="6" t="s">
        <v>99</v>
      </c>
      <c r="D4" s="6" t="s">
        <v>31</v>
      </c>
      <c r="E4" s="6" t="s">
        <v>100</v>
      </c>
      <c r="F4" s="6" t="s">
        <v>101</v>
      </c>
      <c r="G4" s="6" t="s">
        <v>102</v>
      </c>
    </row>
    <row r="5" spans="2:7" x14ac:dyDescent="0.15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15">
      <c r="B6" s="2" t="s">
        <v>117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15">
      <c r="B7" s="2" t="s">
        <v>116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15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15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15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15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15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15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15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15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15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15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15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15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15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15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15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15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15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15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15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15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15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15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15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15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15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15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15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15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15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15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15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15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15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15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15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15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15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15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15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15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15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15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15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15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15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15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15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15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15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15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15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15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15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15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15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15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15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15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15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15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15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15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15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15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15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15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15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15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15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15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15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15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15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15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15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15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15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15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15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15">
      <c r="D87" s="6"/>
    </row>
    <row r="88" spans="2:7" x14ac:dyDescent="0.15">
      <c r="D88" s="6"/>
    </row>
    <row r="89" spans="2:7" x14ac:dyDescent="0.15">
      <c r="D89" s="6"/>
    </row>
    <row r="90" spans="2:7" x14ac:dyDescent="0.15">
      <c r="D90" s="6"/>
    </row>
    <row r="91" spans="2:7" x14ac:dyDescent="0.15">
      <c r="D91" s="6"/>
    </row>
    <row r="92" spans="2:7" x14ac:dyDescent="0.15">
      <c r="D92" s="6"/>
    </row>
    <row r="93" spans="2:7" x14ac:dyDescent="0.15">
      <c r="D93" s="6"/>
    </row>
    <row r="94" spans="2:7" x14ac:dyDescent="0.15">
      <c r="D94" s="6"/>
    </row>
    <row r="95" spans="2:7" x14ac:dyDescent="0.15">
      <c r="D95" s="6"/>
    </row>
    <row r="96" spans="2:7" x14ac:dyDescent="0.15">
      <c r="D96" s="6"/>
    </row>
    <row r="97" spans="4:4" x14ac:dyDescent="0.15">
      <c r="D97" s="6"/>
    </row>
    <row r="98" spans="4:4" x14ac:dyDescent="0.15">
      <c r="D98" s="6"/>
    </row>
    <row r="99" spans="4:4" x14ac:dyDescent="0.15">
      <c r="D99" s="6"/>
    </row>
    <row r="100" spans="4:4" x14ac:dyDescent="0.15">
      <c r="D100" s="6"/>
    </row>
    <row r="101" spans="4:4" x14ac:dyDescent="0.15">
      <c r="D101" s="6"/>
    </row>
    <row r="102" spans="4:4" x14ac:dyDescent="0.15">
      <c r="D102" s="6"/>
    </row>
    <row r="103" spans="4:4" x14ac:dyDescent="0.15">
      <c r="D103" s="6"/>
    </row>
    <row r="104" spans="4:4" x14ac:dyDescent="0.15">
      <c r="D104" s="6"/>
    </row>
    <row r="105" spans="4:4" x14ac:dyDescent="0.15">
      <c r="D105" s="6"/>
    </row>
    <row r="106" spans="4:4" x14ac:dyDescent="0.15">
      <c r="D106" s="6"/>
    </row>
    <row r="107" spans="4:4" x14ac:dyDescent="0.15">
      <c r="D107" s="6"/>
    </row>
    <row r="108" spans="4:4" x14ac:dyDescent="0.15">
      <c r="D108" s="6"/>
    </row>
    <row r="109" spans="4:4" x14ac:dyDescent="0.15">
      <c r="D109" s="6"/>
    </row>
    <row r="110" spans="4:4" x14ac:dyDescent="0.15">
      <c r="D110" s="6"/>
    </row>
    <row r="111" spans="4:4" x14ac:dyDescent="0.15">
      <c r="D111" s="6"/>
    </row>
    <row r="112" spans="4:4" x14ac:dyDescent="0.15">
      <c r="D112" s="6"/>
    </row>
    <row r="113" spans="4:4" x14ac:dyDescent="0.15">
      <c r="D113" s="6"/>
    </row>
    <row r="114" spans="4:4" x14ac:dyDescent="0.15">
      <c r="D114" s="6"/>
    </row>
    <row r="115" spans="4:4" x14ac:dyDescent="0.15">
      <c r="D115" s="6"/>
    </row>
    <row r="116" spans="4:4" x14ac:dyDescent="0.15">
      <c r="D116" s="6"/>
    </row>
    <row r="117" spans="4:4" x14ac:dyDescent="0.15">
      <c r="D117" s="6"/>
    </row>
    <row r="118" spans="4:4" x14ac:dyDescent="0.15">
      <c r="D118" s="6"/>
    </row>
    <row r="119" spans="4:4" x14ac:dyDescent="0.15">
      <c r="D119" s="6"/>
    </row>
    <row r="120" spans="4:4" x14ac:dyDescent="0.15">
      <c r="D120" s="6"/>
    </row>
    <row r="121" spans="4:4" x14ac:dyDescent="0.15">
      <c r="D121" s="6"/>
    </row>
    <row r="122" spans="4:4" x14ac:dyDescent="0.15">
      <c r="D122" s="6"/>
    </row>
    <row r="123" spans="4:4" x14ac:dyDescent="0.15">
      <c r="D123" s="6"/>
    </row>
    <row r="124" spans="4:4" x14ac:dyDescent="0.15">
      <c r="D124" s="6"/>
    </row>
    <row r="125" spans="4:4" x14ac:dyDescent="0.15">
      <c r="D125" s="6"/>
    </row>
    <row r="126" spans="4:4" x14ac:dyDescent="0.15">
      <c r="D126" s="6"/>
    </row>
    <row r="127" spans="4:4" x14ac:dyDescent="0.15">
      <c r="D127" s="6"/>
    </row>
    <row r="128" spans="4:4" x14ac:dyDescent="0.15">
      <c r="D128" s="6"/>
    </row>
    <row r="129" spans="4:4" x14ac:dyDescent="0.15">
      <c r="D129" s="6"/>
    </row>
  </sheetData>
  <autoFilter ref="C4:G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54"/>
  <sheetViews>
    <sheetView topLeftCell="A37" workbookViewId="0">
      <selection activeCell="B1" sqref="B1:B1048576"/>
    </sheetView>
  </sheetViews>
  <sheetFormatPr baseColWidth="10" defaultColWidth="9.1640625" defaultRowHeight="15" x14ac:dyDescent="0.2"/>
  <cols>
    <col min="1" max="1" width="2" style="2" customWidth="1"/>
    <col min="2" max="2" width="16.83203125" style="2" customWidth="1"/>
    <col min="3" max="3" width="29.5" style="2" customWidth="1"/>
    <col min="4" max="4" width="22.1640625" style="2" customWidth="1"/>
    <col min="5" max="5" width="30.83203125" style="2" bestFit="1" customWidth="1"/>
    <col min="6" max="6" width="11.5" style="2" bestFit="1" customWidth="1"/>
    <col min="7" max="7" width="12" style="2" bestFit="1" customWidth="1"/>
    <col min="9" max="16384" width="9.1640625" style="2"/>
  </cols>
  <sheetData>
    <row r="1" spans="2:8" ht="16" x14ac:dyDescent="0.2">
      <c r="C1" s="3" t="s">
        <v>114</v>
      </c>
    </row>
    <row r="4" spans="2:8" x14ac:dyDescent="0.2">
      <c r="B4" s="2" t="s">
        <v>115</v>
      </c>
      <c r="C4" s="6" t="s">
        <v>99</v>
      </c>
      <c r="D4" s="6" t="s">
        <v>31</v>
      </c>
      <c r="E4" s="6" t="s">
        <v>100</v>
      </c>
      <c r="F4" s="6" t="s">
        <v>101</v>
      </c>
      <c r="G4" s="6" t="s">
        <v>102</v>
      </c>
    </row>
    <row r="5" spans="2:8" x14ac:dyDescent="0.2">
      <c r="B5" s="2" t="s">
        <v>173</v>
      </c>
      <c r="C5" s="6" t="s">
        <v>65</v>
      </c>
      <c r="D5" s="6">
        <v>105</v>
      </c>
      <c r="E5" s="6" t="s">
        <v>33</v>
      </c>
      <c r="F5" s="21">
        <v>-616462.01899999997</v>
      </c>
      <c r="G5" s="6">
        <v>2001110000</v>
      </c>
    </row>
    <row r="6" spans="2:8" x14ac:dyDescent="0.2">
      <c r="B6" s="2" t="s">
        <v>117</v>
      </c>
      <c r="C6" s="2" t="s">
        <v>65</v>
      </c>
      <c r="D6" s="6">
        <v>111111</v>
      </c>
      <c r="E6" s="2" t="s">
        <v>103</v>
      </c>
      <c r="F6" s="22">
        <v>-14431341</v>
      </c>
      <c r="G6" s="17">
        <v>2001110000</v>
      </c>
    </row>
    <row r="7" spans="2:8" ht="12" x14ac:dyDescent="0.15">
      <c r="B7" s="2" t="s">
        <v>116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  <c r="H7" s="2"/>
    </row>
    <row r="8" spans="2:8" ht="12" x14ac:dyDescent="0.15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  <c r="H8" s="2"/>
    </row>
    <row r="9" spans="2:8" ht="12" x14ac:dyDescent="0.15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  <c r="H9" s="2"/>
    </row>
    <row r="10" spans="2:8" ht="12" x14ac:dyDescent="0.15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  <c r="H10" s="2"/>
    </row>
    <row r="11" spans="2:8" ht="12" x14ac:dyDescent="0.15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  <c r="H11" s="2"/>
    </row>
    <row r="12" spans="2:8" ht="12" x14ac:dyDescent="0.15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  <c r="H12" s="2"/>
    </row>
    <row r="13" spans="2:8" ht="12" x14ac:dyDescent="0.15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  <c r="H13" s="2"/>
    </row>
    <row r="14" spans="2:8" ht="12" x14ac:dyDescent="0.15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  <c r="H14" s="2"/>
    </row>
    <row r="15" spans="2:8" ht="12" x14ac:dyDescent="0.15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  <c r="H15" s="2"/>
    </row>
    <row r="16" spans="2:8" ht="12" x14ac:dyDescent="0.15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  <c r="H16" s="2"/>
    </row>
    <row r="17" spans="2:8" ht="12" x14ac:dyDescent="0.15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  <c r="H17" s="2"/>
    </row>
    <row r="18" spans="2:8" ht="12" x14ac:dyDescent="0.15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  <c r="H18" s="2"/>
    </row>
    <row r="19" spans="2:8" ht="12" x14ac:dyDescent="0.15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  <c r="H19" s="2"/>
    </row>
    <row r="20" spans="2:8" ht="12" x14ac:dyDescent="0.15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  <c r="H20" s="2"/>
    </row>
    <row r="21" spans="2:8" ht="12" x14ac:dyDescent="0.15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  <c r="H21" s="2"/>
    </row>
    <row r="22" spans="2:8" ht="12" x14ac:dyDescent="0.15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  <c r="H22" s="2"/>
    </row>
    <row r="23" spans="2:8" ht="12" x14ac:dyDescent="0.15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  <c r="H23" s="2"/>
    </row>
    <row r="24" spans="2:8" ht="12" x14ac:dyDescent="0.15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  <c r="H24" s="2"/>
    </row>
    <row r="25" spans="2:8" ht="12" x14ac:dyDescent="0.15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  <c r="H25" s="2"/>
    </row>
    <row r="26" spans="2:8" ht="12" x14ac:dyDescent="0.15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  <c r="H26" s="2"/>
    </row>
    <row r="27" spans="2:8" ht="12" x14ac:dyDescent="0.15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  <c r="H27" s="2"/>
    </row>
    <row r="28" spans="2:8" ht="12" x14ac:dyDescent="0.15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  <c r="H28" s="2"/>
    </row>
    <row r="29" spans="2:8" ht="12" x14ac:dyDescent="0.15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  <c r="H29" s="2"/>
    </row>
    <row r="30" spans="2:8" ht="12" x14ac:dyDescent="0.15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  <c r="H30" s="2"/>
    </row>
    <row r="31" spans="2:8" ht="12" x14ac:dyDescent="0.15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  <c r="H31" s="2"/>
    </row>
    <row r="32" spans="2:8" ht="12" x14ac:dyDescent="0.15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  <c r="H32" s="2"/>
    </row>
    <row r="33" spans="2:8" ht="12" x14ac:dyDescent="0.15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  <c r="H33" s="2"/>
    </row>
    <row r="34" spans="2:8" ht="12" x14ac:dyDescent="0.15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  <c r="H34" s="2"/>
    </row>
    <row r="35" spans="2:8" ht="12" x14ac:dyDescent="0.15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  <c r="H35" s="2"/>
    </row>
    <row r="36" spans="2:8" ht="12" x14ac:dyDescent="0.15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  <c r="H36" s="2"/>
    </row>
    <row r="37" spans="2:8" ht="12" x14ac:dyDescent="0.15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  <c r="H37" s="2"/>
    </row>
    <row r="38" spans="2:8" ht="12" x14ac:dyDescent="0.15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  <c r="H38" s="2"/>
    </row>
    <row r="39" spans="2:8" ht="12" x14ac:dyDescent="0.15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  <c r="H39" s="2"/>
    </row>
    <row r="40" spans="2:8" ht="12" x14ac:dyDescent="0.15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  <c r="H40" s="2"/>
    </row>
    <row r="41" spans="2:8" ht="12" x14ac:dyDescent="0.15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  <c r="H41" s="2"/>
    </row>
    <row r="42" spans="2:8" ht="12" x14ac:dyDescent="0.15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  <c r="H42" s="2"/>
    </row>
    <row r="43" spans="2:8" ht="12" x14ac:dyDescent="0.15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  <c r="H43" s="2"/>
    </row>
    <row r="44" spans="2:8" ht="12" x14ac:dyDescent="0.15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  <c r="H44" s="2"/>
    </row>
    <row r="45" spans="2:8" ht="12" x14ac:dyDescent="0.15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  <c r="H45" s="2"/>
    </row>
    <row r="46" spans="2:8" ht="12" x14ac:dyDescent="0.15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  <c r="H46" s="2"/>
    </row>
    <row r="47" spans="2:8" ht="12" x14ac:dyDescent="0.15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  <c r="H47" s="2"/>
    </row>
    <row r="48" spans="2:8" ht="12" x14ac:dyDescent="0.15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  <c r="H48" s="2"/>
    </row>
    <row r="49" spans="2:8" ht="12" x14ac:dyDescent="0.15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  <c r="H49" s="2"/>
    </row>
    <row r="50" spans="2:8" ht="12" x14ac:dyDescent="0.15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  <c r="H50" s="2"/>
    </row>
    <row r="51" spans="2:8" ht="12" x14ac:dyDescent="0.15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  <c r="H51" s="2"/>
    </row>
    <row r="52" spans="2:8" ht="12" x14ac:dyDescent="0.15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  <c r="H52" s="2"/>
    </row>
    <row r="53" spans="2:8" ht="12" x14ac:dyDescent="0.15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  <c r="H53" s="2"/>
    </row>
    <row r="54" spans="2:8" ht="12" x14ac:dyDescent="0.15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  <c r="H54" s="2"/>
    </row>
    <row r="55" spans="2:8" ht="12" x14ac:dyDescent="0.15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  <c r="H55" s="2"/>
    </row>
    <row r="56" spans="2:8" ht="12" x14ac:dyDescent="0.15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  <c r="H56" s="2"/>
    </row>
    <row r="57" spans="2:8" ht="12" x14ac:dyDescent="0.15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  <c r="H57" s="2"/>
    </row>
    <row r="58" spans="2:8" ht="12" x14ac:dyDescent="0.15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  <c r="H58" s="2"/>
    </row>
    <row r="59" spans="2:8" ht="12" x14ac:dyDescent="0.15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  <c r="H59" s="2"/>
    </row>
    <row r="60" spans="2:8" ht="12" x14ac:dyDescent="0.15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  <c r="H60" s="2"/>
    </row>
    <row r="61" spans="2:8" ht="12" x14ac:dyDescent="0.15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  <c r="H61" s="2"/>
    </row>
    <row r="62" spans="2:8" ht="12" x14ac:dyDescent="0.15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  <c r="H62" s="2"/>
    </row>
    <row r="63" spans="2:8" ht="12" x14ac:dyDescent="0.15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  <c r="H63" s="2"/>
    </row>
    <row r="64" spans="2:8" ht="12" x14ac:dyDescent="0.15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  <c r="H64" s="2"/>
    </row>
    <row r="65" spans="2:8" ht="12" x14ac:dyDescent="0.15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  <c r="H65" s="2"/>
    </row>
    <row r="66" spans="2:8" ht="12" x14ac:dyDescent="0.15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  <c r="H66" s="2"/>
    </row>
    <row r="67" spans="2:8" ht="12" x14ac:dyDescent="0.15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  <c r="H67" s="2"/>
    </row>
    <row r="68" spans="2:8" ht="12" x14ac:dyDescent="0.15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  <c r="H68" s="2"/>
    </row>
    <row r="69" spans="2:8" ht="12" x14ac:dyDescent="0.15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  <c r="H69" s="2"/>
    </row>
    <row r="70" spans="2:8" ht="12" x14ac:dyDescent="0.15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  <c r="H70" s="2"/>
    </row>
    <row r="71" spans="2:8" ht="12" x14ac:dyDescent="0.15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  <c r="H71" s="2"/>
    </row>
    <row r="72" spans="2:8" ht="12" x14ac:dyDescent="0.15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  <c r="H72" s="2"/>
    </row>
    <row r="73" spans="2:8" ht="12" x14ac:dyDescent="0.15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  <c r="H73" s="2"/>
    </row>
    <row r="74" spans="2:8" ht="12" x14ac:dyDescent="0.15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  <c r="H74" s="2"/>
    </row>
    <row r="75" spans="2:8" ht="12" x14ac:dyDescent="0.15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  <c r="H75" s="2"/>
    </row>
    <row r="76" spans="2:8" ht="12" x14ac:dyDescent="0.15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  <c r="H76" s="2"/>
    </row>
    <row r="77" spans="2:8" ht="12" x14ac:dyDescent="0.15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  <c r="H77" s="2"/>
    </row>
    <row r="78" spans="2:8" ht="12" x14ac:dyDescent="0.15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  <c r="H78" s="2"/>
    </row>
    <row r="79" spans="2:8" ht="12" x14ac:dyDescent="0.15">
      <c r="D79" s="6"/>
      <c r="H79" s="2"/>
    </row>
    <row r="80" spans="2:8" ht="12" x14ac:dyDescent="0.15">
      <c r="D80" s="6"/>
      <c r="H80" s="2"/>
    </row>
    <row r="81" spans="4:8" ht="12" x14ac:dyDescent="0.15">
      <c r="D81" s="6"/>
      <c r="H81" s="2"/>
    </row>
    <row r="82" spans="4:8" ht="12" x14ac:dyDescent="0.15">
      <c r="D82" s="6"/>
      <c r="H82" s="2"/>
    </row>
    <row r="83" spans="4:8" ht="12" x14ac:dyDescent="0.15">
      <c r="D83" s="6"/>
      <c r="H83" s="2"/>
    </row>
    <row r="84" spans="4:8" ht="12" x14ac:dyDescent="0.15">
      <c r="D84" s="6"/>
      <c r="H84" s="2"/>
    </row>
    <row r="85" spans="4:8" ht="12" x14ac:dyDescent="0.15">
      <c r="D85" s="6"/>
      <c r="H85" s="2"/>
    </row>
    <row r="86" spans="4:8" ht="12" x14ac:dyDescent="0.15">
      <c r="D86" s="6"/>
      <c r="H86" s="2"/>
    </row>
    <row r="87" spans="4:8" ht="12" x14ac:dyDescent="0.15">
      <c r="D87" s="6"/>
      <c r="H87" s="2"/>
    </row>
    <row r="88" spans="4:8" ht="12" x14ac:dyDescent="0.15">
      <c r="D88" s="6"/>
      <c r="H88" s="2"/>
    </row>
    <row r="89" spans="4:8" ht="12" x14ac:dyDescent="0.15">
      <c r="D89" s="6"/>
      <c r="H89" s="2"/>
    </row>
    <row r="90" spans="4:8" ht="12" x14ac:dyDescent="0.15">
      <c r="D90" s="6"/>
      <c r="H90" s="2"/>
    </row>
    <row r="91" spans="4:8" ht="12" x14ac:dyDescent="0.15">
      <c r="D91" s="6"/>
      <c r="H91" s="2"/>
    </row>
    <row r="92" spans="4:8" ht="12" x14ac:dyDescent="0.15">
      <c r="D92" s="6"/>
      <c r="H92" s="2"/>
    </row>
    <row r="93" spans="4:8" ht="12" x14ac:dyDescent="0.15">
      <c r="D93" s="6"/>
      <c r="H93" s="2"/>
    </row>
    <row r="94" spans="4:8" ht="12" x14ac:dyDescent="0.15">
      <c r="D94" s="6"/>
      <c r="H94" s="2"/>
    </row>
    <row r="95" spans="4:8" ht="12" x14ac:dyDescent="0.15">
      <c r="D95" s="6"/>
      <c r="H95" s="2"/>
    </row>
    <row r="96" spans="4:8" ht="12" x14ac:dyDescent="0.15">
      <c r="D96" s="6"/>
      <c r="H96" s="2"/>
    </row>
    <row r="97" spans="4:8" ht="12" x14ac:dyDescent="0.15">
      <c r="D97" s="6"/>
      <c r="H97" s="2"/>
    </row>
    <row r="98" spans="4:8" ht="12" x14ac:dyDescent="0.15">
      <c r="D98" s="6"/>
      <c r="H98" s="2"/>
    </row>
    <row r="99" spans="4:8" ht="12" x14ac:dyDescent="0.15">
      <c r="D99" s="6"/>
      <c r="H99" s="2"/>
    </row>
    <row r="100" spans="4:8" ht="12" x14ac:dyDescent="0.15">
      <c r="D100" s="6"/>
      <c r="H100" s="2"/>
    </row>
    <row r="101" spans="4:8" ht="12" x14ac:dyDescent="0.15">
      <c r="D101" s="6"/>
      <c r="H101" s="2"/>
    </row>
    <row r="102" spans="4:8" ht="12" x14ac:dyDescent="0.15">
      <c r="D102" s="6"/>
      <c r="H102" s="2"/>
    </row>
    <row r="103" spans="4:8" ht="12" x14ac:dyDescent="0.15">
      <c r="D103" s="6"/>
      <c r="H103" s="2"/>
    </row>
    <row r="104" spans="4:8" ht="12" x14ac:dyDescent="0.15">
      <c r="D104" s="6"/>
      <c r="H104" s="2"/>
    </row>
    <row r="105" spans="4:8" ht="12" x14ac:dyDescent="0.15">
      <c r="D105" s="6"/>
      <c r="H105" s="2"/>
    </row>
    <row r="106" spans="4:8" ht="12" x14ac:dyDescent="0.15">
      <c r="D106" s="6"/>
      <c r="H106" s="2"/>
    </row>
    <row r="107" spans="4:8" ht="12" x14ac:dyDescent="0.15">
      <c r="D107" s="6"/>
      <c r="H107" s="2"/>
    </row>
    <row r="108" spans="4:8" ht="12" x14ac:dyDescent="0.15">
      <c r="D108" s="6"/>
      <c r="H108" s="2"/>
    </row>
    <row r="109" spans="4:8" ht="12" x14ac:dyDescent="0.15">
      <c r="D109" s="6"/>
      <c r="H109" s="2"/>
    </row>
    <row r="110" spans="4:8" ht="12" x14ac:dyDescent="0.15">
      <c r="D110" s="6"/>
      <c r="H110" s="2"/>
    </row>
    <row r="111" spans="4:8" ht="12" x14ac:dyDescent="0.15">
      <c r="D111" s="6"/>
      <c r="H111" s="2"/>
    </row>
    <row r="112" spans="4:8" ht="12" x14ac:dyDescent="0.15">
      <c r="D112" s="6"/>
      <c r="H112" s="2"/>
    </row>
    <row r="113" spans="4:8" ht="12" x14ac:dyDescent="0.15">
      <c r="D113" s="6"/>
      <c r="H113" s="2"/>
    </row>
    <row r="114" spans="4:8" ht="12" x14ac:dyDescent="0.15">
      <c r="D114" s="6"/>
      <c r="H114" s="2"/>
    </row>
    <row r="115" spans="4:8" ht="12" x14ac:dyDescent="0.15">
      <c r="D115" s="6"/>
      <c r="H115" s="2"/>
    </row>
    <row r="116" spans="4:8" ht="12" x14ac:dyDescent="0.15">
      <c r="D116" s="6"/>
      <c r="H116" s="2"/>
    </row>
    <row r="117" spans="4:8" ht="12" x14ac:dyDescent="0.15">
      <c r="D117" s="6"/>
      <c r="H117" s="2"/>
    </row>
    <row r="118" spans="4:8" ht="12" x14ac:dyDescent="0.15">
      <c r="H118" s="2"/>
    </row>
    <row r="119" spans="4:8" ht="12" x14ac:dyDescent="0.15">
      <c r="H119" s="2"/>
    </row>
    <row r="120" spans="4:8" ht="12" x14ac:dyDescent="0.15">
      <c r="H120" s="2"/>
    </row>
    <row r="121" spans="4:8" ht="12" x14ac:dyDescent="0.15">
      <c r="H121" s="2"/>
    </row>
    <row r="122" spans="4:8" ht="12" x14ac:dyDescent="0.15">
      <c r="H122" s="2"/>
    </row>
    <row r="123" spans="4:8" ht="12" x14ac:dyDescent="0.15">
      <c r="H123" s="2"/>
    </row>
    <row r="124" spans="4:8" ht="12" x14ac:dyDescent="0.15">
      <c r="H124" s="2"/>
    </row>
    <row r="125" spans="4:8" ht="12" x14ac:dyDescent="0.15">
      <c r="H125" s="2"/>
    </row>
    <row r="126" spans="4:8" ht="12" x14ac:dyDescent="0.15">
      <c r="H126" s="2"/>
    </row>
    <row r="127" spans="4:8" ht="12" x14ac:dyDescent="0.15">
      <c r="H127" s="2"/>
    </row>
    <row r="128" spans="4:8" ht="12" x14ac:dyDescent="0.15">
      <c r="H128" s="2"/>
    </row>
    <row r="129" spans="8:8" ht="12" x14ac:dyDescent="0.15">
      <c r="H129" s="2"/>
    </row>
    <row r="130" spans="8:8" ht="12" x14ac:dyDescent="0.15">
      <c r="H130" s="2"/>
    </row>
    <row r="131" spans="8:8" ht="12" x14ac:dyDescent="0.15">
      <c r="H131" s="2"/>
    </row>
    <row r="132" spans="8:8" ht="12" x14ac:dyDescent="0.15">
      <c r="H132" s="2"/>
    </row>
    <row r="133" spans="8:8" ht="12" x14ac:dyDescent="0.15">
      <c r="H133" s="2"/>
    </row>
    <row r="134" spans="8:8" ht="12" x14ac:dyDescent="0.15">
      <c r="H134" s="2"/>
    </row>
    <row r="135" spans="8:8" ht="12" x14ac:dyDescent="0.15">
      <c r="H135" s="2"/>
    </row>
    <row r="136" spans="8:8" ht="12" x14ac:dyDescent="0.15">
      <c r="H136" s="2"/>
    </row>
    <row r="137" spans="8:8" ht="12" x14ac:dyDescent="0.15">
      <c r="H137" s="2"/>
    </row>
    <row r="138" spans="8:8" ht="12" x14ac:dyDescent="0.15">
      <c r="H138" s="2"/>
    </row>
    <row r="139" spans="8:8" ht="12" x14ac:dyDescent="0.15">
      <c r="H139" s="2"/>
    </row>
    <row r="140" spans="8:8" ht="12" x14ac:dyDescent="0.15">
      <c r="H140" s="2"/>
    </row>
    <row r="141" spans="8:8" ht="12" x14ac:dyDescent="0.15">
      <c r="H141" s="2"/>
    </row>
    <row r="142" spans="8:8" ht="12" x14ac:dyDescent="0.15">
      <c r="H142" s="2"/>
    </row>
    <row r="143" spans="8:8" ht="12" x14ac:dyDescent="0.15">
      <c r="H143" s="2"/>
    </row>
    <row r="144" spans="8:8" ht="12" x14ac:dyDescent="0.15">
      <c r="H144" s="2"/>
    </row>
    <row r="145" spans="8:8" ht="12" x14ac:dyDescent="0.15">
      <c r="H145" s="2"/>
    </row>
    <row r="146" spans="8:8" ht="12" x14ac:dyDescent="0.15">
      <c r="H146" s="2"/>
    </row>
    <row r="147" spans="8:8" ht="12" x14ac:dyDescent="0.15">
      <c r="H147" s="2"/>
    </row>
    <row r="148" spans="8:8" ht="12" x14ac:dyDescent="0.15">
      <c r="H148" s="2"/>
    </row>
    <row r="149" spans="8:8" ht="12" x14ac:dyDescent="0.15">
      <c r="H149" s="2"/>
    </row>
    <row r="150" spans="8:8" ht="12" x14ac:dyDescent="0.15">
      <c r="H150" s="2"/>
    </row>
    <row r="151" spans="8:8" ht="12" x14ac:dyDescent="0.15">
      <c r="H151" s="2"/>
    </row>
    <row r="152" spans="8:8" ht="12" x14ac:dyDescent="0.15">
      <c r="H152" s="2"/>
    </row>
    <row r="153" spans="8:8" ht="12" x14ac:dyDescent="0.15">
      <c r="H153" s="2"/>
    </row>
    <row r="154" spans="8:8" ht="12" x14ac:dyDescent="0.15">
      <c r="H154" s="2"/>
    </row>
  </sheetData>
  <autoFilter ref="C4:G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L9" sqref="L9"/>
    </sheetView>
  </sheetViews>
  <sheetFormatPr baseColWidth="10" defaultColWidth="9.1640625" defaultRowHeight="12" x14ac:dyDescent="0.15"/>
  <cols>
    <col min="1" max="1" width="2" style="2" customWidth="1"/>
    <col min="2" max="2" width="15.5" style="2" customWidth="1"/>
    <col min="3" max="3" width="26.33203125" style="2" customWidth="1"/>
    <col min="4" max="4" width="26.6640625" style="2" customWidth="1"/>
    <col min="5" max="5" width="34.33203125" style="2" customWidth="1"/>
    <col min="6" max="16384" width="9.1640625" style="2"/>
  </cols>
  <sheetData>
    <row r="1" spans="2:11" ht="16" x14ac:dyDescent="0.2">
      <c r="B1" s="3" t="s">
        <v>56</v>
      </c>
    </row>
    <row r="3" spans="2:11" ht="13" thickBot="1" x14ac:dyDescent="0.2">
      <c r="B3" s="24" t="s">
        <v>115</v>
      </c>
      <c r="C3" s="24" t="s">
        <v>99</v>
      </c>
      <c r="D3" s="24" t="s">
        <v>31</v>
      </c>
      <c r="E3" s="24" t="s">
        <v>100</v>
      </c>
      <c r="F3" s="25" t="s">
        <v>221</v>
      </c>
      <c r="G3" s="25" t="s">
        <v>222</v>
      </c>
      <c r="H3" s="25" t="s">
        <v>223</v>
      </c>
      <c r="I3" s="24" t="s">
        <v>225</v>
      </c>
    </row>
    <row r="4" spans="2:11" x14ac:dyDescent="0.15">
      <c r="B4" s="2" t="s">
        <v>117</v>
      </c>
      <c r="C4" s="2" t="str">
        <f>VLOOKUP($B4,'1.1 FY2016'!$B$5:$E$61,2,FALSE)</f>
        <v>Core business revenues</v>
      </c>
      <c r="D4" s="2">
        <f>VLOOKUP($B4,'1.1 FY2016'!$B$5:$E$61,3,FALSE)</f>
        <v>111111</v>
      </c>
      <c r="E4" s="2" t="str">
        <f>VLOOKUP($B4,'1.1 FY2016'!$B$5:$E$61,4,FALSE)</f>
        <v>External</v>
      </c>
      <c r="F4" s="2">
        <f>-SUMIF('1.1 FY2016'!$B:$B,'2.1 Database'!B4,'1.1 FY2016'!$F:$F)</f>
        <v>14500341</v>
      </c>
      <c r="G4" s="2">
        <f>-SUMIF('1.2 FY2017'!$B:$B,'2.1 Database'!B4,'1.2 FY2017'!$F:$F)</f>
        <v>15792898.75</v>
      </c>
      <c r="H4" s="2">
        <f>-SUMIF('1.3 FY2018'!$B:$B,'2.1 Database'!B4,'1.3 FY2018'!$F:$F)</f>
        <v>14431341</v>
      </c>
      <c r="I4" s="2" t="s">
        <v>226</v>
      </c>
      <c r="K4" s="2">
        <f>COUNTIF('2.2 P&amp;L statement'!$B$4:$B$24,'2.1 Database'!I4)</f>
        <v>1</v>
      </c>
    </row>
    <row r="5" spans="2:11" x14ac:dyDescent="0.15">
      <c r="B5" s="2" t="s">
        <v>116</v>
      </c>
      <c r="C5" s="2" t="str">
        <f>VLOOKUP($B5,'1.1 FY2016'!$B$5:$E$61,2,FALSE)</f>
        <v>Other revenues</v>
      </c>
      <c r="D5" s="2">
        <f>VLOOKUP($B5,'1.1 FY2016'!$B$5:$E$61,3,FALSE)</f>
        <v>111111</v>
      </c>
      <c r="E5" s="2" t="str">
        <f>VLOOKUP($B5,'1.1 FY2016'!$B$5:$E$61,4,FALSE)</f>
        <v>External</v>
      </c>
      <c r="F5" s="2">
        <f>-SUMIF('1.1 FY2016'!$B:$B,'2.1 Database'!B5,'1.1 FY2016'!$F:$F)</f>
        <v>4794856.1919999998</v>
      </c>
      <c r="G5" s="2">
        <f>-SUMIF('1.2 FY2017'!$B:$B,'2.1 Database'!B5,'1.2 FY2017'!$F:$F)</f>
        <v>6960217.6449999996</v>
      </c>
      <c r="H5" s="2">
        <f>-SUMIF('1.3 FY2018'!$B:$B,'2.1 Database'!B5,'1.3 FY2018'!$F:$F)</f>
        <v>6373617.5140000004</v>
      </c>
      <c r="I5" s="2" t="s">
        <v>66</v>
      </c>
      <c r="K5" s="2">
        <f>COUNTIF('2.2 P&amp;L statement'!$B$4:$B$24,'2.1 Database'!I5)</f>
        <v>1</v>
      </c>
    </row>
    <row r="6" spans="2:11" x14ac:dyDescent="0.15">
      <c r="B6" s="2" t="s">
        <v>118</v>
      </c>
      <c r="C6" s="2" t="str">
        <f>VLOOKUP($B6,'1.1 FY2016'!$B$5:$E$61,2,FALSE)</f>
        <v>Capitalized costs</v>
      </c>
      <c r="D6" s="2">
        <f>VLOOKUP($B6,'1.1 FY2016'!$B$5:$E$61,3,FALSE)</f>
        <v>1009</v>
      </c>
      <c r="E6" s="2" t="str">
        <f>VLOOKUP($B6,'1.1 FY2016'!$B$5:$E$61,4,FALSE)</f>
        <v>Green Ventures Ltd</v>
      </c>
      <c r="F6" s="2">
        <f>-SUMIF('1.1 FY2016'!$B:$B,'2.1 Database'!B6,'1.1 FY2016'!$F:$F)</f>
        <v>154890.4</v>
      </c>
      <c r="G6" s="2">
        <f>-SUMIF('1.2 FY2017'!$B:$B,'2.1 Database'!B6,'1.2 FY2017'!$F:$F)</f>
        <v>0</v>
      </c>
      <c r="H6" s="2">
        <f>-SUMIF('1.3 FY2018'!$B:$B,'2.1 Database'!B6,'1.3 FY2018'!$F:$F)</f>
        <v>0</v>
      </c>
      <c r="I6" s="2" t="s">
        <v>67</v>
      </c>
      <c r="K6" s="2">
        <f>COUNTIF('2.2 P&amp;L statement'!$B$4:$B$24,'2.1 Database'!I6)</f>
        <v>1</v>
      </c>
    </row>
    <row r="7" spans="2:11" x14ac:dyDescent="0.15">
      <c r="B7" s="2" t="s">
        <v>119</v>
      </c>
      <c r="C7" s="2" t="str">
        <f>VLOOKUP($B7,'1.1 FY2016'!$B$5:$E$61,2,FALSE)</f>
        <v>Capitalized costs</v>
      </c>
      <c r="D7" s="2">
        <f>VLOOKUP($B7,'1.1 FY2016'!$B$5:$E$61,3,FALSE)</f>
        <v>1007</v>
      </c>
      <c r="E7" s="2" t="str">
        <f>VLOOKUP($B7,'1.1 FY2016'!$B$5:$E$61,4,FALSE)</f>
        <v>Generco Sunshine JSC</v>
      </c>
      <c r="F7" s="2">
        <f>-SUMIF('1.1 FY2016'!$B:$B,'2.1 Database'!B7,'1.1 FY2016'!$F:$F)</f>
        <v>1180894.0520000001</v>
      </c>
      <c r="G7" s="2">
        <f>-SUMIF('1.2 FY2017'!$B:$B,'2.1 Database'!B7,'1.2 FY2017'!$F:$F)</f>
        <v>89234.880000000005</v>
      </c>
      <c r="H7" s="2">
        <f>-SUMIF('1.3 FY2018'!$B:$B,'2.1 Database'!B7,'1.3 FY2018'!$F:$F)</f>
        <v>0</v>
      </c>
      <c r="I7" s="2" t="s">
        <v>67</v>
      </c>
      <c r="K7" s="2">
        <f>COUNTIF('2.2 P&amp;L statement'!$B$4:$B$24,'2.1 Database'!I7)</f>
        <v>1</v>
      </c>
    </row>
    <row r="8" spans="2:11" x14ac:dyDescent="0.15">
      <c r="B8" s="2" t="s">
        <v>120</v>
      </c>
      <c r="C8" s="2" t="str">
        <f>VLOOKUP($B8,'1.1 FY2016'!$B$5:$E$61,2,FALSE)</f>
        <v>Capitalized costs</v>
      </c>
      <c r="D8" s="2">
        <f>VLOOKUP($B8,'1.1 FY2016'!$B$5:$E$61,3,FALSE)</f>
        <v>1008</v>
      </c>
      <c r="E8" s="2" t="str">
        <f>VLOOKUP($B8,'1.1 FY2016'!$B$5:$E$61,4,FALSE)</f>
        <v>Greenco Ltd</v>
      </c>
      <c r="F8" s="2">
        <f>-SUMIF('1.1 FY2016'!$B:$B,'2.1 Database'!B8,'1.1 FY2016'!$F:$F)</f>
        <v>793079.51199999999</v>
      </c>
      <c r="G8" s="2">
        <f>-SUMIF('1.2 FY2017'!$B:$B,'2.1 Database'!B8,'1.2 FY2017'!$F:$F)</f>
        <v>26173</v>
      </c>
      <c r="H8" s="2">
        <f>-SUMIF('1.3 FY2018'!$B:$B,'2.1 Database'!B8,'1.3 FY2018'!$F:$F)</f>
        <v>0</v>
      </c>
      <c r="I8" s="2" t="s">
        <v>67</v>
      </c>
      <c r="K8" s="2">
        <f>COUNTIF('2.2 P&amp;L statement'!$B$4:$B$24,'2.1 Database'!I8)</f>
        <v>1</v>
      </c>
    </row>
    <row r="9" spans="2:11" x14ac:dyDescent="0.15">
      <c r="B9" s="2" t="s">
        <v>121</v>
      </c>
      <c r="C9" s="2" t="str">
        <f>VLOOKUP($B9,'1.1 FY2016'!$B$5:$E$61,2,FALSE)</f>
        <v>Capitalized costs</v>
      </c>
      <c r="D9" s="2">
        <f>VLOOKUP($B9,'1.1 FY2016'!$B$5:$E$61,3,FALSE)</f>
        <v>111101</v>
      </c>
      <c r="E9" s="2" t="str">
        <f>VLOOKUP($B9,'1.1 FY2016'!$B$5:$E$61,4,FALSE)</f>
        <v>Not assigned</v>
      </c>
      <c r="F9" s="2">
        <f>-SUMIF('1.1 FY2016'!$B:$B,'2.1 Database'!B9,'1.1 FY2016'!$F:$F)</f>
        <v>2277197.6</v>
      </c>
      <c r="G9" s="2">
        <f>-SUMIF('1.2 FY2017'!$B:$B,'2.1 Database'!B9,'1.2 FY2017'!$F:$F)</f>
        <v>209401.92</v>
      </c>
      <c r="H9" s="2">
        <f>-SUMIF('1.3 FY2018'!$B:$B,'2.1 Database'!B9,'1.3 FY2018'!$F:$F)</f>
        <v>0</v>
      </c>
      <c r="I9" s="2" t="s">
        <v>67</v>
      </c>
      <c r="K9" s="2">
        <f>COUNTIF('2.2 P&amp;L statement'!$B$4:$B$24,'2.1 Database'!I9)</f>
        <v>1</v>
      </c>
    </row>
    <row r="10" spans="2:11" x14ac:dyDescent="0.15">
      <c r="B10" s="2" t="s">
        <v>122</v>
      </c>
      <c r="C10" s="2" t="str">
        <f>VLOOKUP($B10,'1.1 FY2016'!$B$5:$E$61,2,FALSE)</f>
        <v>Direct costs</v>
      </c>
      <c r="D10" s="2">
        <f>VLOOKUP($B10,'1.1 FY2016'!$B$5:$E$61,3,FALSE)</f>
        <v>111111</v>
      </c>
      <c r="E10" s="2" t="str">
        <f>VLOOKUP($B10,'1.1 FY2016'!$B$5:$E$61,4,FALSE)</f>
        <v>External</v>
      </c>
      <c r="F10" s="2">
        <f>-SUMIF('1.1 FY2016'!$B:$B,'2.1 Database'!B10,'1.1 FY2016'!$F:$F)</f>
        <v>-4428911.7640000004</v>
      </c>
      <c r="G10" s="2">
        <f>-SUMIF('1.2 FY2017'!$B:$B,'2.1 Database'!B10,'1.2 FY2017'!$F:$F)</f>
        <v>-5463188.8250000002</v>
      </c>
      <c r="H10" s="2">
        <f>-SUMIF('1.3 FY2018'!$B:$B,'2.1 Database'!B10,'1.3 FY2018'!$F:$F)</f>
        <v>-5674152.0669999998</v>
      </c>
      <c r="I10" s="2" t="s">
        <v>104</v>
      </c>
      <c r="K10" s="2">
        <f>COUNTIF('2.2 P&amp;L statement'!$B$4:$B$24,'2.1 Database'!I10)</f>
        <v>1</v>
      </c>
    </row>
    <row r="11" spans="2:11" x14ac:dyDescent="0.15">
      <c r="B11" s="2" t="s">
        <v>123</v>
      </c>
      <c r="C11" s="2" t="str">
        <f>VLOOKUP($B11,'1.1 FY2016'!$B$5:$E$61,2,FALSE)</f>
        <v>Freight outbound expenses</v>
      </c>
      <c r="D11" s="2">
        <f>VLOOKUP($B11,'1.1 FY2016'!$B$5:$E$61,3,FALSE)</f>
        <v>111111</v>
      </c>
      <c r="E11" s="2" t="str">
        <f>VLOOKUP($B11,'1.1 FY2016'!$B$5:$E$61,4,FALSE)</f>
        <v>External</v>
      </c>
      <c r="F11" s="2">
        <f>-SUMIF('1.1 FY2016'!$B:$B,'2.1 Database'!B11,'1.1 FY2016'!$F:$F)</f>
        <v>-16977.628000000001</v>
      </c>
      <c r="G11" s="2">
        <f>-SUMIF('1.2 FY2017'!$B:$B,'2.1 Database'!B11,'1.2 FY2017'!$F:$F)</f>
        <v>-343675</v>
      </c>
      <c r="H11" s="2">
        <f>-SUMIF('1.3 FY2018'!$B:$B,'2.1 Database'!B11,'1.3 FY2018'!$F:$F)</f>
        <v>-350370.99399999995</v>
      </c>
      <c r="I11" s="2" t="s">
        <v>227</v>
      </c>
      <c r="K11" s="2">
        <f>COUNTIF('2.2 P&amp;L statement'!$B$4:$B$24,'2.1 Database'!I11)</f>
        <v>1</v>
      </c>
    </row>
    <row r="12" spans="2:11" x14ac:dyDescent="0.15">
      <c r="B12" s="2" t="s">
        <v>124</v>
      </c>
      <c r="C12" s="2" t="str">
        <f>VLOOKUP($B12,'1.1 FY2016'!$B$5:$E$61,2,FALSE)</f>
        <v>R&amp;D expenses</v>
      </c>
      <c r="D12" s="2">
        <f>VLOOKUP($B12,'1.1 FY2016'!$B$5:$E$61,3,FALSE)</f>
        <v>88</v>
      </c>
      <c r="E12" s="2" t="str">
        <f>VLOOKUP($B12,'1.1 FY2016'!$B$5:$E$61,4,FALSE)</f>
        <v>Generco Ltd</v>
      </c>
      <c r="F12" s="2">
        <f>-SUMIF('1.1 FY2016'!$B:$B,'2.1 Database'!B12,'1.1 FY2016'!$F:$F)</f>
        <v>-2245437.54</v>
      </c>
      <c r="G12" s="2">
        <f>-SUMIF('1.2 FY2017'!$B:$B,'2.1 Database'!B12,'1.2 FY2017'!$F:$F)</f>
        <v>-1980162.23</v>
      </c>
      <c r="H12" s="2">
        <f>-SUMIF('1.3 FY2018'!$B:$B,'2.1 Database'!B12,'1.3 FY2018'!$F:$F)</f>
        <v>-3116017.1540000001</v>
      </c>
      <c r="I12" s="2" t="s">
        <v>227</v>
      </c>
      <c r="K12" s="2">
        <f>COUNTIF('2.2 P&amp;L statement'!$B$4:$B$24,'2.1 Database'!I12)</f>
        <v>1</v>
      </c>
    </row>
    <row r="13" spans="2:11" x14ac:dyDescent="0.15">
      <c r="B13" s="2" t="s">
        <v>125</v>
      </c>
      <c r="C13" s="2" t="str">
        <f>VLOOKUP($B13,'1.1 FY2016'!$B$5:$E$61,2,FALSE)</f>
        <v>R&amp;D expenses</v>
      </c>
      <c r="D13" s="2">
        <f>VLOOKUP($B13,'1.1 FY2016'!$B$5:$E$61,3,FALSE)</f>
        <v>111111</v>
      </c>
      <c r="E13" s="2" t="str">
        <f>VLOOKUP($B13,'1.1 FY2016'!$B$5:$E$61,4,FALSE)</f>
        <v>External</v>
      </c>
      <c r="F13" s="2">
        <f>-SUMIF('1.1 FY2016'!$B:$B,'2.1 Database'!B13,'1.1 FY2016'!$F:$F)</f>
        <v>-16605.634000000002</v>
      </c>
      <c r="G13" s="2">
        <f>-SUMIF('1.2 FY2017'!$B:$B,'2.1 Database'!B13,'1.2 FY2017'!$F:$F)</f>
        <v>-27148.625</v>
      </c>
      <c r="H13" s="2">
        <f>-SUMIF('1.3 FY2018'!$B:$B,'2.1 Database'!B13,'1.3 FY2018'!$F:$F)</f>
        <v>-9783.7069999999985</v>
      </c>
      <c r="I13" s="2" t="s">
        <v>227</v>
      </c>
      <c r="K13" s="2">
        <f>COUNTIF('2.2 P&amp;L statement'!$B$4:$B$24,'2.1 Database'!I13)</f>
        <v>1</v>
      </c>
    </row>
    <row r="14" spans="2:11" x14ac:dyDescent="0.15">
      <c r="B14" s="2" t="s">
        <v>126</v>
      </c>
      <c r="C14" s="2" t="str">
        <f>VLOOKUP($B14,'1.1 FY2016'!$B$5:$E$61,2,FALSE)</f>
        <v>Wages and salaries</v>
      </c>
      <c r="D14" s="2">
        <f>VLOOKUP($B14,'1.1 FY2016'!$B$5:$E$61,3,FALSE)</f>
        <v>111111</v>
      </c>
      <c r="E14" s="2" t="str">
        <f>VLOOKUP($B14,'1.1 FY2016'!$B$5:$E$61,4,FALSE)</f>
        <v>External</v>
      </c>
      <c r="F14" s="2">
        <f>-SUMIF('1.1 FY2016'!$B:$B,'2.1 Database'!B14,'1.1 FY2016'!$F:$F)</f>
        <v>-4683394.0460000001</v>
      </c>
      <c r="G14" s="2">
        <f>-SUMIF('1.2 FY2017'!$B:$B,'2.1 Database'!B14,'1.2 FY2017'!$F:$F)</f>
        <v>-5507141.0549999997</v>
      </c>
      <c r="H14" s="2">
        <f>-SUMIF('1.3 FY2018'!$B:$B,'2.1 Database'!B14,'1.3 FY2018'!$F:$F)</f>
        <v>-3982699.5329999998</v>
      </c>
      <c r="I14" s="2" t="s">
        <v>228</v>
      </c>
      <c r="K14" s="2">
        <f>COUNTIF('2.2 P&amp;L statement'!$B$4:$B$24,'2.1 Database'!I14)</f>
        <v>1</v>
      </c>
    </row>
    <row r="15" spans="2:11" x14ac:dyDescent="0.15">
      <c r="B15" s="2" t="s">
        <v>127</v>
      </c>
      <c r="C15" s="2" t="str">
        <f>VLOOKUP($B15,'1.1 FY2016'!$B$5:$E$61,2,FALSE)</f>
        <v>Pension contributions</v>
      </c>
      <c r="D15" s="2">
        <f>VLOOKUP($B15,'1.1 FY2016'!$B$5:$E$61,3,FALSE)</f>
        <v>111101</v>
      </c>
      <c r="E15" s="2" t="str">
        <f>VLOOKUP($B15,'1.1 FY2016'!$B$5:$E$61,4,FALSE)</f>
        <v>Not assigned</v>
      </c>
      <c r="F15" s="2">
        <f>-SUMIF('1.1 FY2016'!$B:$B,'2.1 Database'!B15,'1.1 FY2016'!$F:$F)</f>
        <v>-1143051.5760000001</v>
      </c>
      <c r="G15" s="2">
        <f>-SUMIF('1.2 FY2017'!$B:$B,'2.1 Database'!B15,'1.2 FY2017'!$F:$F)</f>
        <v>-2057298.04</v>
      </c>
      <c r="H15" s="2">
        <f>-SUMIF('1.3 FY2018'!$B:$B,'2.1 Database'!B15,'1.3 FY2018'!$F:$F)</f>
        <v>-1709688.6429999997</v>
      </c>
      <c r="I15" s="2" t="s">
        <v>228</v>
      </c>
      <c r="K15" s="2">
        <f>COUNTIF('2.2 P&amp;L statement'!$B$4:$B$24,'2.1 Database'!I15)</f>
        <v>1</v>
      </c>
    </row>
    <row r="16" spans="2:11" x14ac:dyDescent="0.15">
      <c r="B16" s="2" t="s">
        <v>128</v>
      </c>
      <c r="C16" s="2" t="str">
        <f>VLOOKUP($B16,'1.1 FY2016'!$B$5:$E$61,2,FALSE)</f>
        <v>Pension contributions</v>
      </c>
      <c r="D16" s="2">
        <f>VLOOKUP($B16,'1.1 FY2016'!$B$5:$E$61,3,FALSE)</f>
        <v>88</v>
      </c>
      <c r="E16" s="2" t="str">
        <f>VLOOKUP($B16,'1.1 FY2016'!$B$5:$E$61,4,FALSE)</f>
        <v>Generco Ltd</v>
      </c>
      <c r="F16" s="2">
        <f>-SUMIF('1.1 FY2016'!$B:$B,'2.1 Database'!B16,'1.1 FY2016'!$F:$F)</f>
        <v>-239379.61800000002</v>
      </c>
      <c r="G16" s="2">
        <f>-SUMIF('1.2 FY2017'!$B:$B,'2.1 Database'!B16,'1.2 FY2017'!$F:$F)</f>
        <v>0</v>
      </c>
      <c r="H16" s="2">
        <f>-SUMIF('1.3 FY2018'!$B:$B,'2.1 Database'!B16,'1.3 FY2018'!$F:$F)</f>
        <v>0</v>
      </c>
      <c r="I16" s="2" t="s">
        <v>228</v>
      </c>
      <c r="K16" s="2">
        <f>COUNTIF('2.2 P&amp;L statement'!$B$4:$B$24,'2.1 Database'!I16)</f>
        <v>1</v>
      </c>
    </row>
    <row r="17" spans="2:11" x14ac:dyDescent="0.15">
      <c r="B17" s="2" t="s">
        <v>129</v>
      </c>
      <c r="C17" s="2" t="str">
        <f>VLOOKUP($B17,'1.1 FY2016'!$B$5:$E$61,2,FALSE)</f>
        <v>Severance indemnity contribution</v>
      </c>
      <c r="D17" s="2">
        <f>VLOOKUP($B17,'1.1 FY2016'!$B$5:$E$61,3,FALSE)</f>
        <v>111101</v>
      </c>
      <c r="E17" s="2" t="str">
        <f>VLOOKUP($B17,'1.1 FY2016'!$B$5:$E$61,4,FALSE)</f>
        <v>Not assigned</v>
      </c>
      <c r="F17" s="2">
        <f>-SUMIF('1.1 FY2016'!$B:$B,'2.1 Database'!B17,'1.1 FY2016'!$F:$F)</f>
        <v>-104913.8</v>
      </c>
      <c r="G17" s="2">
        <f>-SUMIF('1.2 FY2017'!$B:$B,'2.1 Database'!B17,'1.2 FY2017'!$F:$F)</f>
        <v>-500500</v>
      </c>
      <c r="H17" s="2">
        <f>-SUMIF('1.3 FY2018'!$B:$B,'2.1 Database'!B17,'1.3 FY2018'!$F:$F)</f>
        <v>-143500</v>
      </c>
      <c r="I17" s="2" t="s">
        <v>228</v>
      </c>
      <c r="K17" s="2">
        <f>COUNTIF('2.2 P&amp;L statement'!$B$4:$B$24,'2.1 Database'!I17)</f>
        <v>1</v>
      </c>
    </row>
    <row r="18" spans="2:11" x14ac:dyDescent="0.15">
      <c r="B18" s="2" t="s">
        <v>130</v>
      </c>
      <c r="C18" s="2" t="str">
        <f>VLOOKUP($B18,'1.1 FY2016'!$B$5:$E$61,2,FALSE)</f>
        <v>D&amp;A</v>
      </c>
      <c r="D18" s="2">
        <f>VLOOKUP($B18,'1.1 FY2016'!$B$5:$E$61,3,FALSE)</f>
        <v>111101</v>
      </c>
      <c r="E18" s="2" t="str">
        <f>VLOOKUP($B18,'1.1 FY2016'!$B$5:$E$61,4,FALSE)</f>
        <v>Not assigned</v>
      </c>
      <c r="F18" s="2">
        <f>-SUMIF('1.1 FY2016'!$B:$B,'2.1 Database'!B18,'1.1 FY2016'!$F:$F)</f>
        <v>-2003262.2180000001</v>
      </c>
      <c r="G18" s="2">
        <f>-SUMIF('1.2 FY2017'!$B:$B,'2.1 Database'!B18,'1.2 FY2017'!$F:$F)</f>
        <v>-1897676.87</v>
      </c>
      <c r="H18" s="2">
        <f>-SUMIF('1.3 FY2018'!$B:$B,'2.1 Database'!B18,'1.3 FY2018'!$F:$F)</f>
        <v>-1875768.159</v>
      </c>
      <c r="I18" s="2" t="s">
        <v>72</v>
      </c>
      <c r="K18" s="2">
        <f>COUNTIF('2.2 P&amp;L statement'!$B$4:$B$24,'2.1 Database'!I18)</f>
        <v>1</v>
      </c>
    </row>
    <row r="19" spans="2:11" x14ac:dyDescent="0.15">
      <c r="B19" s="2" t="s">
        <v>131</v>
      </c>
      <c r="C19" s="2" t="str">
        <f>VLOOKUP($B19,'1.1 FY2016'!$B$5:$E$61,2,FALSE)</f>
        <v>D&amp;A</v>
      </c>
      <c r="D19" s="2">
        <f>VLOOKUP($B19,'1.1 FY2016'!$B$5:$E$61,3,FALSE)</f>
        <v>1</v>
      </c>
      <c r="E19" s="2" t="str">
        <f>VLOOKUP($B19,'1.1 FY2016'!$B$5:$E$61,4,FALSE)</f>
        <v>Not assigned</v>
      </c>
      <c r="F19" s="2">
        <f>-SUMIF('1.1 FY2016'!$B:$B,'2.1 Database'!B19,'1.1 FY2016'!$F:$F)</f>
        <v>-41981.296000000002</v>
      </c>
      <c r="G19" s="2">
        <f>-SUMIF('1.2 FY2017'!$B:$B,'2.1 Database'!B19,'1.2 FY2017'!$F:$F)</f>
        <v>0</v>
      </c>
      <c r="H19" s="2">
        <f>-SUMIF('1.3 FY2018'!$B:$B,'2.1 Database'!B19,'1.3 FY2018'!$F:$F)</f>
        <v>0</v>
      </c>
      <c r="I19" s="2" t="s">
        <v>72</v>
      </c>
      <c r="K19" s="2">
        <f>COUNTIF('2.2 P&amp;L statement'!$B$4:$B$24,'2.1 Database'!I19)</f>
        <v>1</v>
      </c>
    </row>
    <row r="20" spans="2:11" x14ac:dyDescent="0.15">
      <c r="B20" s="2" t="s">
        <v>132</v>
      </c>
      <c r="C20" s="2" t="str">
        <f>VLOOKUP($B20,'1.1 FY2016'!$B$5:$E$61,2,FALSE)</f>
        <v>Corporate recharges</v>
      </c>
      <c r="D20" s="2" t="str">
        <f>VLOOKUP($B20,'1.1 FY2016'!$B$5:$E$61,3,FALSE)</f>
        <v>1</v>
      </c>
      <c r="E20" s="2" t="str">
        <f>VLOOKUP($B20,'1.1 FY2016'!$B$5:$E$61,4,FALSE)</f>
        <v>Greeny Ltd</v>
      </c>
      <c r="F20" s="2">
        <f>-SUMIF('1.1 FY2016'!$B:$B,'2.1 Database'!B20,'1.1 FY2016'!$F:$F)</f>
        <v>2156147.4</v>
      </c>
      <c r="G20" s="2">
        <f>-SUMIF('1.2 FY2017'!$B:$B,'2.1 Database'!B20,'1.2 FY2017'!$F:$F)</f>
        <v>1643711.145</v>
      </c>
      <c r="H20" s="2">
        <f>-SUMIF('1.3 FY2018'!$B:$B,'2.1 Database'!B20,'1.3 FY2018'!$F:$F)</f>
        <v>1418521.358</v>
      </c>
      <c r="I20" s="2" t="s">
        <v>229</v>
      </c>
      <c r="K20" s="2">
        <f>COUNTIF('2.2 P&amp;L statement'!$B$4:$B$24,'2.1 Database'!I20)</f>
        <v>1</v>
      </c>
    </row>
    <row r="21" spans="2:11" x14ac:dyDescent="0.15">
      <c r="B21" s="2" t="s">
        <v>133</v>
      </c>
      <c r="C21" s="2" t="str">
        <f>VLOOKUP($B21,'1.1 FY2016'!$B$5:$E$61,2,FALSE)</f>
        <v>Corporate recharges</v>
      </c>
      <c r="D21" s="2">
        <f>VLOOKUP($B21,'1.1 FY2016'!$B$5:$E$61,3,FALSE)</f>
        <v>14</v>
      </c>
      <c r="E21" s="2" t="str">
        <f>VLOOKUP($B21,'1.1 FY2016'!$B$5:$E$61,4,FALSE)</f>
        <v>Generco Cosmetics Ltd</v>
      </c>
      <c r="F21" s="2">
        <f>-SUMIF('1.1 FY2016'!$B:$B,'2.1 Database'!B21,'1.1 FY2016'!$F:$F)</f>
        <v>291428.55199999997</v>
      </c>
      <c r="G21" s="2">
        <f>-SUMIF('1.2 FY2017'!$B:$B,'2.1 Database'!B21,'1.2 FY2017'!$F:$F)</f>
        <v>0</v>
      </c>
      <c r="H21" s="2">
        <f>-SUMIF('1.3 FY2018'!$B:$B,'2.1 Database'!B21,'1.3 FY2018'!$F:$F)</f>
        <v>0</v>
      </c>
      <c r="I21" s="2" t="s">
        <v>229</v>
      </c>
      <c r="K21" s="2">
        <f>COUNTIF('2.2 P&amp;L statement'!$B$4:$B$24,'2.1 Database'!I21)</f>
        <v>1</v>
      </c>
    </row>
    <row r="22" spans="2:11" x14ac:dyDescent="0.15">
      <c r="B22" s="2" t="s">
        <v>134</v>
      </c>
      <c r="C22" s="2" t="str">
        <f>VLOOKUP($B22,'1.1 FY2016'!$B$5:$E$61,2,FALSE)</f>
        <v>Corporate recharges</v>
      </c>
      <c r="D22" s="2">
        <f>VLOOKUP($B22,'1.1 FY2016'!$B$5:$E$61,3,FALSE)</f>
        <v>1037</v>
      </c>
      <c r="E22" s="2" t="str">
        <f>VLOOKUP($B22,'1.1 FY2016'!$B$5:$E$61,4,FALSE)</f>
        <v>Generco Canada JSC</v>
      </c>
      <c r="F22" s="2">
        <f>-SUMIF('1.1 FY2016'!$B:$B,'2.1 Database'!B22,'1.1 FY2016'!$F:$F)</f>
        <v>0</v>
      </c>
      <c r="G22" s="2">
        <f>-SUMIF('1.2 FY2017'!$B:$B,'2.1 Database'!B22,'1.2 FY2017'!$F:$F)</f>
        <v>0</v>
      </c>
      <c r="H22" s="2">
        <f>-SUMIF('1.3 FY2018'!$B:$B,'2.1 Database'!B22,'1.3 FY2018'!$F:$F)</f>
        <v>0</v>
      </c>
      <c r="I22" s="2" t="s">
        <v>229</v>
      </c>
      <c r="K22" s="2">
        <f>COUNTIF('2.2 P&amp;L statement'!$B$4:$B$24,'2.1 Database'!I22)</f>
        <v>1</v>
      </c>
    </row>
    <row r="23" spans="2:11" x14ac:dyDescent="0.15">
      <c r="B23" s="2" t="s">
        <v>135</v>
      </c>
      <c r="C23" s="2" t="str">
        <f>VLOOKUP($B23,'1.1 FY2016'!$B$5:$E$61,2,FALSE)</f>
        <v>Corporate recharges</v>
      </c>
      <c r="D23" s="2" t="str">
        <f>VLOOKUP($B23,'1.1 FY2016'!$B$5:$E$61,3,FALSE)</f>
        <v>1087</v>
      </c>
      <c r="E23" s="2" t="str">
        <f>VLOOKUP($B23,'1.1 FY2016'!$B$5:$E$61,4,FALSE)</f>
        <v>Gener Beauty GmbH</v>
      </c>
      <c r="F23" s="2">
        <f>-SUMIF('1.1 FY2016'!$B:$B,'2.1 Database'!B23,'1.1 FY2016'!$F:$F)</f>
        <v>33736.5</v>
      </c>
      <c r="G23" s="2">
        <f>-SUMIF('1.2 FY2017'!$B:$B,'2.1 Database'!B23,'1.2 FY2017'!$F:$F)</f>
        <v>0</v>
      </c>
      <c r="H23" s="2">
        <f>-SUMIF('1.3 FY2018'!$B:$B,'2.1 Database'!B23,'1.3 FY2018'!$F:$F)</f>
        <v>0</v>
      </c>
      <c r="I23" s="2" t="s">
        <v>229</v>
      </c>
      <c r="K23" s="2">
        <f>COUNTIF('2.2 P&amp;L statement'!$B$4:$B$24,'2.1 Database'!I23)</f>
        <v>1</v>
      </c>
    </row>
    <row r="24" spans="2:11" x14ac:dyDescent="0.15">
      <c r="B24" s="2" t="s">
        <v>136</v>
      </c>
      <c r="C24" s="2" t="str">
        <f>VLOOKUP($B24,'1.1 FY2016'!$B$5:$E$61,2,FALSE)</f>
        <v>Corporate recharges</v>
      </c>
      <c r="D24" s="2">
        <f>VLOOKUP($B24,'1.1 FY2016'!$B$5:$E$61,3,FALSE)</f>
        <v>1009</v>
      </c>
      <c r="E24" s="2" t="str">
        <f>VLOOKUP($B24,'1.1 FY2016'!$B$5:$E$61,4,FALSE)</f>
        <v>Green Ventures Ltd</v>
      </c>
      <c r="F24" s="2">
        <f>-SUMIF('1.1 FY2016'!$B:$B,'2.1 Database'!B24,'1.1 FY2016'!$F:$F)</f>
        <v>0</v>
      </c>
      <c r="G24" s="2">
        <f>-SUMIF('1.2 FY2017'!$B:$B,'2.1 Database'!B24,'1.2 FY2017'!$F:$F)</f>
        <v>0</v>
      </c>
      <c r="H24" s="2">
        <f>-SUMIF('1.3 FY2018'!$B:$B,'2.1 Database'!B24,'1.3 FY2018'!$F:$F)</f>
        <v>0</v>
      </c>
      <c r="I24" s="2" t="s">
        <v>229</v>
      </c>
      <c r="K24" s="2">
        <f>COUNTIF('2.2 P&amp;L statement'!$B$4:$B$24,'2.1 Database'!I24)</f>
        <v>1</v>
      </c>
    </row>
    <row r="25" spans="2:11" x14ac:dyDescent="0.15">
      <c r="B25" s="2" t="s">
        <v>137</v>
      </c>
      <c r="C25" s="2" t="str">
        <f>VLOOKUP($B25,'1.1 FY2016'!$B$5:$E$61,2,FALSE)</f>
        <v>Corporate recharges</v>
      </c>
      <c r="D25" s="2">
        <f>VLOOKUP($B25,'1.1 FY2016'!$B$5:$E$61,3,FALSE)</f>
        <v>1007</v>
      </c>
      <c r="E25" s="2" t="str">
        <f>VLOOKUP($B25,'1.1 FY2016'!$B$5:$E$61,4,FALSE)</f>
        <v>Generco Sunshine JSC</v>
      </c>
      <c r="F25" s="2">
        <f>-SUMIF('1.1 FY2016'!$B:$B,'2.1 Database'!B25,'1.1 FY2016'!$F:$F)</f>
        <v>0</v>
      </c>
      <c r="G25" s="2">
        <f>-SUMIF('1.2 FY2017'!$B:$B,'2.1 Database'!B25,'1.2 FY2017'!$F:$F)</f>
        <v>0</v>
      </c>
      <c r="H25" s="2">
        <f>-SUMIF('1.3 FY2018'!$B:$B,'2.1 Database'!B25,'1.3 FY2018'!$F:$F)</f>
        <v>0</v>
      </c>
      <c r="I25" s="2" t="s">
        <v>229</v>
      </c>
      <c r="K25" s="2">
        <f>COUNTIF('2.2 P&amp;L statement'!$B$4:$B$24,'2.1 Database'!I25)</f>
        <v>1</v>
      </c>
    </row>
    <row r="26" spans="2:11" x14ac:dyDescent="0.15">
      <c r="B26" s="2" t="s">
        <v>138</v>
      </c>
      <c r="C26" s="2" t="str">
        <f>VLOOKUP($B26,'1.1 FY2016'!$B$5:$E$61,2,FALSE)</f>
        <v>Corporate recharges</v>
      </c>
      <c r="D26" s="2">
        <f>VLOOKUP($B26,'1.1 FY2016'!$B$5:$E$61,3,FALSE)</f>
        <v>1008</v>
      </c>
      <c r="E26" s="2" t="str">
        <f>VLOOKUP($B26,'1.1 FY2016'!$B$5:$E$61,4,FALSE)</f>
        <v>Greenco Ltd</v>
      </c>
      <c r="F26" s="2">
        <f>-SUMIF('1.1 FY2016'!$B:$B,'2.1 Database'!B26,'1.1 FY2016'!$F:$F)</f>
        <v>0</v>
      </c>
      <c r="G26" s="2">
        <f>-SUMIF('1.2 FY2017'!$B:$B,'2.1 Database'!B26,'1.2 FY2017'!$F:$F)</f>
        <v>0</v>
      </c>
      <c r="H26" s="2">
        <f>-SUMIF('1.3 FY2018'!$B:$B,'2.1 Database'!B26,'1.3 FY2018'!$F:$F)</f>
        <v>0</v>
      </c>
      <c r="I26" s="2" t="s">
        <v>229</v>
      </c>
      <c r="K26" s="2">
        <f>COUNTIF('2.2 P&amp;L statement'!$B$4:$B$24,'2.1 Database'!I26)</f>
        <v>1</v>
      </c>
    </row>
    <row r="27" spans="2:11" x14ac:dyDescent="0.15">
      <c r="B27" s="2" t="s">
        <v>139</v>
      </c>
      <c r="C27" s="2" t="str">
        <f>VLOOKUP($B27,'1.1 FY2016'!$B$5:$E$61,2,FALSE)</f>
        <v>Corporate recharges</v>
      </c>
      <c r="D27" s="2">
        <f>VLOOKUP($B27,'1.1 FY2016'!$B$5:$E$61,3,FALSE)</f>
        <v>1240</v>
      </c>
      <c r="E27" s="2" t="str">
        <f>VLOOKUP($B27,'1.1 FY2016'!$B$5:$E$61,4,FALSE)</f>
        <v xml:space="preserve">Generco UK </v>
      </c>
      <c r="F27" s="2">
        <f>-SUMIF('1.1 FY2016'!$B:$B,'2.1 Database'!B27,'1.1 FY2016'!$F:$F)</f>
        <v>199600.4</v>
      </c>
      <c r="G27" s="2">
        <f>-SUMIF('1.2 FY2017'!$B:$B,'2.1 Database'!B27,'1.2 FY2017'!$F:$F)</f>
        <v>10461.36</v>
      </c>
      <c r="H27" s="2">
        <f>-SUMIF('1.3 FY2018'!$B:$B,'2.1 Database'!B27,'1.3 FY2018'!$F:$F)</f>
        <v>0</v>
      </c>
      <c r="I27" s="2" t="s">
        <v>229</v>
      </c>
      <c r="K27" s="2">
        <f>COUNTIF('2.2 P&amp;L statement'!$B$4:$B$24,'2.1 Database'!I27)</f>
        <v>1</v>
      </c>
    </row>
    <row r="28" spans="2:11" x14ac:dyDescent="0.15">
      <c r="B28" s="2" t="s">
        <v>140</v>
      </c>
      <c r="C28" s="2" t="str">
        <f>VLOOKUP($B28,'1.1 FY2016'!$B$5:$E$61,2,FALSE)</f>
        <v>Corporate recharges</v>
      </c>
      <c r="D28" s="2">
        <f>VLOOKUP($B28,'1.1 FY2016'!$B$5:$E$61,3,FALSE)</f>
        <v>111111</v>
      </c>
      <c r="E28" s="2" t="str">
        <f>VLOOKUP($B28,'1.1 FY2016'!$B$5:$E$61,4,FALSE)</f>
        <v>External</v>
      </c>
      <c r="F28" s="2">
        <f>-SUMIF('1.1 FY2016'!$B:$B,'2.1 Database'!B28,'1.1 FY2016'!$F:$F)</f>
        <v>539141.4</v>
      </c>
      <c r="G28" s="2">
        <f>-SUMIF('1.2 FY2017'!$B:$B,'2.1 Database'!B28,'1.2 FY2017'!$F:$F)</f>
        <v>6785.94</v>
      </c>
      <c r="H28" s="2">
        <f>-SUMIF('1.3 FY2018'!$B:$B,'2.1 Database'!B28,'1.3 FY2018'!$F:$F)</f>
        <v>902857.84299999999</v>
      </c>
      <c r="I28" s="2" t="s">
        <v>229</v>
      </c>
      <c r="K28" s="2">
        <f>COUNTIF('2.2 P&amp;L statement'!$B$4:$B$24,'2.1 Database'!I28)</f>
        <v>1</v>
      </c>
    </row>
    <row r="29" spans="2:11" x14ac:dyDescent="0.15">
      <c r="B29" s="2" t="s">
        <v>141</v>
      </c>
      <c r="C29" s="2" t="str">
        <f>VLOOKUP($B29,'1.1 FY2016'!$B$5:$E$61,2,FALSE)</f>
        <v>Other income</v>
      </c>
      <c r="D29" s="2">
        <f>VLOOKUP($B29,'1.1 FY2016'!$B$5:$E$61,3,FALSE)</f>
        <v>111111</v>
      </c>
      <c r="E29" s="2" t="str">
        <f>VLOOKUP($B29,'1.1 FY2016'!$B$5:$E$61,4,FALSE)</f>
        <v>External</v>
      </c>
      <c r="F29" s="2">
        <f>-SUMIF('1.1 FY2016'!$B:$B,'2.1 Database'!B29,'1.1 FY2016'!$F:$F)</f>
        <v>57.221999999999994</v>
      </c>
      <c r="G29" s="2">
        <f>-SUMIF('1.2 FY2017'!$B:$B,'2.1 Database'!B29,'1.2 FY2017'!$F:$F)</f>
        <v>-9793.84</v>
      </c>
      <c r="H29" s="2">
        <f>-SUMIF('1.3 FY2018'!$B:$B,'2.1 Database'!B29,'1.3 FY2018'!$F:$F)</f>
        <v>15872.001999999999</v>
      </c>
      <c r="I29" s="2" t="s">
        <v>74</v>
      </c>
      <c r="K29" s="2">
        <f>COUNTIF('2.2 P&amp;L statement'!$B$4:$B$24,'2.1 Database'!I29)</f>
        <v>1</v>
      </c>
    </row>
    <row r="30" spans="2:11" x14ac:dyDescent="0.15">
      <c r="B30" s="2" t="s">
        <v>142</v>
      </c>
      <c r="C30" s="2" t="str">
        <f>VLOOKUP($B30,'1.1 FY2016'!$B$5:$E$61,2,FALSE)</f>
        <v>Marketing expenses</v>
      </c>
      <c r="D30" s="2">
        <f>VLOOKUP($B30,'1.1 FY2016'!$B$5:$E$61,3,FALSE)</f>
        <v>111111</v>
      </c>
      <c r="E30" s="2" t="str">
        <f>VLOOKUP($B30,'1.1 FY2016'!$B$5:$E$61,4,FALSE)</f>
        <v>External</v>
      </c>
      <c r="F30" s="2">
        <f>-SUMIF('1.1 FY2016'!$B:$B,'2.1 Database'!B30,'1.1 FY2016'!$F:$F)</f>
        <v>-22314.879999999997</v>
      </c>
      <c r="G30" s="2">
        <f>-SUMIF('1.2 FY2017'!$B:$B,'2.1 Database'!B30,'1.2 FY2017'!$F:$F)</f>
        <v>-65947.7</v>
      </c>
      <c r="H30" s="2">
        <f>-SUMIF('1.3 FY2018'!$B:$B,'2.1 Database'!B30,'1.3 FY2018'!$F:$F)</f>
        <v>-57.317999999999998</v>
      </c>
      <c r="I30" s="2" t="s">
        <v>227</v>
      </c>
      <c r="K30" s="2">
        <f>COUNTIF('2.2 P&amp;L statement'!$B$4:$B$24,'2.1 Database'!I30)</f>
        <v>1</v>
      </c>
    </row>
    <row r="31" spans="2:11" x14ac:dyDescent="0.15">
      <c r="B31" s="2" t="s">
        <v>143</v>
      </c>
      <c r="C31" s="2" t="str">
        <f>VLOOKUP($B31,'1.1 FY2016'!$B$5:$E$61,2,FALSE)</f>
        <v>Software&amp;IT</v>
      </c>
      <c r="D31" s="2">
        <f>VLOOKUP($B31,'1.1 FY2016'!$B$5:$E$61,3,FALSE)</f>
        <v>88</v>
      </c>
      <c r="E31" s="2" t="str">
        <f>VLOOKUP($B31,'1.1 FY2016'!$B$5:$E$61,4,FALSE)</f>
        <v>Generco Ltd</v>
      </c>
      <c r="F31" s="2">
        <f>-SUMIF('1.1 FY2016'!$B:$B,'2.1 Database'!B31,'1.1 FY2016'!$F:$F)</f>
        <v>-204000</v>
      </c>
      <c r="G31" s="2">
        <f>-SUMIF('1.2 FY2017'!$B:$B,'2.1 Database'!B31,'1.2 FY2017'!$F:$F)</f>
        <v>0</v>
      </c>
      <c r="H31" s="2">
        <f>-SUMIF('1.3 FY2018'!$B:$B,'2.1 Database'!B31,'1.3 FY2018'!$F:$F)</f>
        <v>0</v>
      </c>
      <c r="I31" s="2" t="s">
        <v>227</v>
      </c>
      <c r="K31" s="2">
        <f>COUNTIF('2.2 P&amp;L statement'!$B$4:$B$24,'2.1 Database'!I31)</f>
        <v>1</v>
      </c>
    </row>
    <row r="32" spans="2:11" x14ac:dyDescent="0.15">
      <c r="B32" s="2" t="s">
        <v>144</v>
      </c>
      <c r="C32" s="2" t="str">
        <f>VLOOKUP($B32,'1.1 FY2016'!$B$5:$E$61,2,FALSE)</f>
        <v>Software&amp;IT</v>
      </c>
      <c r="D32" s="2">
        <f>VLOOKUP($B32,'1.1 FY2016'!$B$5:$E$61,3,FALSE)</f>
        <v>111111</v>
      </c>
      <c r="E32" s="2" t="str">
        <f>VLOOKUP($B32,'1.1 FY2016'!$B$5:$E$61,4,FALSE)</f>
        <v>External</v>
      </c>
      <c r="F32" s="2">
        <f>-SUMIF('1.1 FY2016'!$B:$B,'2.1 Database'!B32,'1.1 FY2016'!$F:$F)</f>
        <v>-138.41399999999999</v>
      </c>
      <c r="G32" s="2">
        <f>-SUMIF('1.2 FY2017'!$B:$B,'2.1 Database'!B32,'1.2 FY2017'!$F:$F)</f>
        <v>-5138.91</v>
      </c>
      <c r="H32" s="2">
        <f>-SUMIF('1.3 FY2018'!$B:$B,'2.1 Database'!B32,'1.3 FY2018'!$F:$F)</f>
        <v>-19198.66</v>
      </c>
      <c r="I32" s="2" t="s">
        <v>227</v>
      </c>
      <c r="K32" s="2">
        <f>COUNTIF('2.2 P&amp;L statement'!$B$4:$B$24,'2.1 Database'!I32)</f>
        <v>1</v>
      </c>
    </row>
    <row r="33" spans="2:11" x14ac:dyDescent="0.15">
      <c r="B33" s="2" t="s">
        <v>145</v>
      </c>
      <c r="C33" s="2" t="str">
        <f>VLOOKUP($B33,'1.1 FY2016'!$B$5:$E$61,2,FALSE)</f>
        <v>Leasings</v>
      </c>
      <c r="D33" s="2">
        <f>VLOOKUP($B33,'1.1 FY2016'!$B$5:$E$61,3,FALSE)</f>
        <v>111111</v>
      </c>
      <c r="E33" s="2" t="str">
        <f>VLOOKUP($B33,'1.1 FY2016'!$B$5:$E$61,4,FALSE)</f>
        <v>External</v>
      </c>
      <c r="F33" s="2">
        <f>-SUMIF('1.1 FY2016'!$B:$B,'2.1 Database'!B33,'1.1 FY2016'!$F:$F)</f>
        <v>-1127445.872</v>
      </c>
      <c r="G33" s="2">
        <f>-SUMIF('1.2 FY2017'!$B:$B,'2.1 Database'!B33,'1.2 FY2017'!$F:$F)</f>
        <v>-1055381.4750000001</v>
      </c>
      <c r="H33" s="2">
        <f>-SUMIF('1.3 FY2018'!$B:$B,'2.1 Database'!B33,'1.3 FY2018'!$F:$F)</f>
        <v>172933.44899999999</v>
      </c>
      <c r="I33" s="2" t="s">
        <v>230</v>
      </c>
      <c r="K33" s="2">
        <f>COUNTIF('2.2 P&amp;L statement'!$B$4:$B$24,'2.1 Database'!I33)</f>
        <v>1</v>
      </c>
    </row>
    <row r="34" spans="2:11" x14ac:dyDescent="0.15">
      <c r="B34" s="2" t="s">
        <v>146</v>
      </c>
      <c r="C34" s="2" t="str">
        <f>VLOOKUP($B34,'1.1 FY2016'!$B$5:$E$61,2,FALSE)</f>
        <v>Service expenses</v>
      </c>
      <c r="D34" s="2" t="str">
        <f>VLOOKUP($B34,'1.1 FY2016'!$B$5:$E$61,3,FALSE)</f>
        <v>43</v>
      </c>
      <c r="E34" s="2" t="str">
        <f>VLOOKUP($B34,'1.1 FY2016'!$B$5:$E$61,4,FALSE)</f>
        <v>Greeny France SL</v>
      </c>
      <c r="F34" s="2">
        <f>-SUMIF('1.1 FY2016'!$B:$B,'2.1 Database'!B34,'1.1 FY2016'!$F:$F)</f>
        <v>-133722</v>
      </c>
      <c r="G34" s="2">
        <f>-SUMIF('1.2 FY2017'!$B:$B,'2.1 Database'!B34,'1.2 FY2017'!$F:$F)</f>
        <v>0</v>
      </c>
      <c r="H34" s="2">
        <f>-SUMIF('1.3 FY2018'!$B:$B,'2.1 Database'!B34,'1.3 FY2018'!$F:$F)</f>
        <v>0</v>
      </c>
      <c r="I34" s="2" t="s">
        <v>231</v>
      </c>
      <c r="K34" s="2">
        <f>COUNTIF('2.2 P&amp;L statement'!$B$4:$B$24,'2.1 Database'!I34)</f>
        <v>1</v>
      </c>
    </row>
    <row r="35" spans="2:11" x14ac:dyDescent="0.15">
      <c r="B35" s="2" t="s">
        <v>147</v>
      </c>
      <c r="C35" s="2" t="str">
        <f>VLOOKUP($B35,'1.1 FY2016'!$B$5:$E$61,2,FALSE)</f>
        <v>Service expenses</v>
      </c>
      <c r="D35" s="2" t="str">
        <f>VLOOKUP($B35,'1.1 FY2016'!$B$5:$E$61,3,FALSE)</f>
        <v>2240</v>
      </c>
      <c r="E35" s="2" t="str">
        <f>VLOOKUP($B35,'1.1 FY2016'!$B$5:$E$61,4,FALSE)</f>
        <v>Greeny Germany GmbH</v>
      </c>
      <c r="F35" s="2">
        <f>-SUMIF('1.1 FY2016'!$B:$B,'2.1 Database'!B35,'1.1 FY2016'!$F:$F)</f>
        <v>-328061.886</v>
      </c>
      <c r="G35" s="2">
        <f>-SUMIF('1.2 FY2017'!$B:$B,'2.1 Database'!B35,'1.2 FY2017'!$F:$F)</f>
        <v>-430845.34499999997</v>
      </c>
      <c r="H35" s="2">
        <f>-SUMIF('1.3 FY2018'!$B:$B,'2.1 Database'!B35,'1.3 FY2018'!$F:$F)</f>
        <v>0</v>
      </c>
      <c r="I35" s="2" t="s">
        <v>231</v>
      </c>
      <c r="K35" s="2">
        <f>COUNTIF('2.2 P&amp;L statement'!$B$4:$B$24,'2.1 Database'!I35)</f>
        <v>1</v>
      </c>
    </row>
    <row r="36" spans="2:11" x14ac:dyDescent="0.15">
      <c r="B36" s="2" t="s">
        <v>148</v>
      </c>
      <c r="C36" s="2" t="str">
        <f>VLOOKUP($B36,'1.1 FY2016'!$B$5:$E$61,2,FALSE)</f>
        <v>Service expenses</v>
      </c>
      <c r="D36" s="2">
        <f>VLOOKUP($B36,'1.1 FY2016'!$B$5:$E$61,3,FALSE)</f>
        <v>111111</v>
      </c>
      <c r="E36" s="2" t="str">
        <f>VLOOKUP($B36,'1.1 FY2016'!$B$5:$E$61,4,FALSE)</f>
        <v>External</v>
      </c>
      <c r="F36" s="2">
        <f>-SUMIF('1.1 FY2016'!$B:$B,'2.1 Database'!B36,'1.1 FY2016'!$F:$F)</f>
        <v>-2081304.3219999997</v>
      </c>
      <c r="G36" s="2">
        <f>-SUMIF('1.2 FY2017'!$B:$B,'2.1 Database'!B36,'1.2 FY2017'!$F:$F)</f>
        <v>-1130021</v>
      </c>
      <c r="H36" s="2">
        <f>-SUMIF('1.3 FY2018'!$B:$B,'2.1 Database'!B36,'1.3 FY2018'!$F:$F)</f>
        <v>-1481408.47</v>
      </c>
      <c r="I36" s="2" t="s">
        <v>231</v>
      </c>
      <c r="K36" s="2">
        <f>COUNTIF('2.2 P&amp;L statement'!$B$4:$B$24,'2.1 Database'!I36)</f>
        <v>1</v>
      </c>
    </row>
    <row r="37" spans="2:11" x14ac:dyDescent="0.15">
      <c r="B37" s="2" t="s">
        <v>149</v>
      </c>
      <c r="C37" s="2" t="str">
        <f>VLOOKUP($B37,'1.1 FY2016'!$B$5:$E$61,2,FALSE)</f>
        <v>Charges and contributions</v>
      </c>
      <c r="D37" s="2">
        <f>VLOOKUP($B37,'1.1 FY2016'!$B$5:$E$61,3,FALSE)</f>
        <v>111111</v>
      </c>
      <c r="E37" s="2" t="str">
        <f>VLOOKUP($B37,'1.1 FY2016'!$B$5:$E$61,4,FALSE)</f>
        <v>External</v>
      </c>
      <c r="F37" s="2">
        <f>-SUMIF('1.1 FY2016'!$B:$B,'2.1 Database'!B37,'1.1 FY2016'!$F:$F)</f>
        <v>-33410.031999999999</v>
      </c>
      <c r="G37" s="2">
        <f>-SUMIF('1.2 FY2017'!$B:$B,'2.1 Database'!B37,'1.2 FY2017'!$F:$F)</f>
        <v>-7293.5450000000001</v>
      </c>
      <c r="H37" s="2">
        <f>-SUMIF('1.3 FY2018'!$B:$B,'2.1 Database'!B37,'1.3 FY2018'!$F:$F)</f>
        <v>-40048.799999999996</v>
      </c>
      <c r="I37" s="2" t="s">
        <v>227</v>
      </c>
      <c r="K37" s="2">
        <f>COUNTIF('2.2 P&amp;L statement'!$B$4:$B$24,'2.1 Database'!I37)</f>
        <v>1</v>
      </c>
    </row>
    <row r="38" spans="2:11" x14ac:dyDescent="0.15">
      <c r="B38" s="2" t="s">
        <v>150</v>
      </c>
      <c r="C38" s="2" t="str">
        <f>VLOOKUP($B38,'1.1 FY2016'!$B$5:$E$61,2,FALSE)</f>
        <v>Insurance expenses</v>
      </c>
      <c r="D38" s="2">
        <f>VLOOKUP($B38,'1.1 FY2016'!$B$5:$E$61,3,FALSE)</f>
        <v>111111</v>
      </c>
      <c r="E38" s="2" t="str">
        <f>VLOOKUP($B38,'1.1 FY2016'!$B$5:$E$61,4,FALSE)</f>
        <v>External</v>
      </c>
      <c r="F38" s="2">
        <f>-SUMIF('1.1 FY2016'!$B:$B,'2.1 Database'!B38,'1.1 FY2016'!$F:$F)</f>
        <v>-213090.85199999998</v>
      </c>
      <c r="G38" s="2">
        <f>-SUMIF('1.2 FY2017'!$B:$B,'2.1 Database'!B38,'1.2 FY2017'!$F:$F)</f>
        <v>-48468.665000000001</v>
      </c>
      <c r="H38" s="2">
        <f>-SUMIF('1.3 FY2018'!$B:$B,'2.1 Database'!B38,'1.3 FY2018'!$F:$F)</f>
        <v>-64039.82699999999</v>
      </c>
      <c r="I38" s="2" t="s">
        <v>227</v>
      </c>
      <c r="K38" s="2">
        <f>COUNTIF('2.2 P&amp;L statement'!$B$4:$B$24,'2.1 Database'!I38)</f>
        <v>1</v>
      </c>
    </row>
    <row r="39" spans="2:11" x14ac:dyDescent="0.15">
      <c r="B39" s="2" t="s">
        <v>151</v>
      </c>
      <c r="C39" s="2" t="str">
        <f>VLOOKUP($B39,'1.1 FY2016'!$B$5:$E$61,2,FALSE)</f>
        <v>Travel expenses</v>
      </c>
      <c r="D39" s="2">
        <f>VLOOKUP($B39,'1.1 FY2016'!$B$5:$E$61,3,FALSE)</f>
        <v>111111</v>
      </c>
      <c r="E39" s="2" t="str">
        <f>VLOOKUP($B39,'1.1 FY2016'!$B$5:$E$61,4,FALSE)</f>
        <v>External</v>
      </c>
      <c r="F39" s="2">
        <f>-SUMIF('1.1 FY2016'!$B:$B,'2.1 Database'!B39,'1.1 FY2016'!$F:$F)</f>
        <v>-1813525.004</v>
      </c>
      <c r="G39" s="2">
        <f>-SUMIF('1.2 FY2017'!$B:$B,'2.1 Database'!B39,'1.2 FY2017'!$F:$F)</f>
        <v>-2393259.19</v>
      </c>
      <c r="H39" s="2">
        <f>-SUMIF('1.3 FY2018'!$B:$B,'2.1 Database'!B39,'1.3 FY2018'!$F:$F)</f>
        <v>-2514431.8869999996</v>
      </c>
      <c r="I39" s="2" t="s">
        <v>232</v>
      </c>
      <c r="K39" s="2">
        <f>COUNTIF('2.2 P&amp;L statement'!$B$4:$B$24,'2.1 Database'!I39)</f>
        <v>1</v>
      </c>
    </row>
    <row r="40" spans="2:11" x14ac:dyDescent="0.15">
      <c r="B40" s="2" t="s">
        <v>152</v>
      </c>
      <c r="C40" s="2" t="str">
        <f>VLOOKUP($B40,'1.1 FY2016'!$B$5:$E$61,2,FALSE)</f>
        <v>Utility expenses</v>
      </c>
      <c r="D40" s="2">
        <f>VLOOKUP($B40,'1.1 FY2016'!$B$5:$E$61,3,FALSE)</f>
        <v>111111</v>
      </c>
      <c r="E40" s="2" t="str">
        <f>VLOOKUP($B40,'1.1 FY2016'!$B$5:$E$61,4,FALSE)</f>
        <v>External</v>
      </c>
      <c r="F40" s="2">
        <f>-SUMIF('1.1 FY2016'!$B:$B,'2.1 Database'!B40,'1.1 FY2016'!$F:$F)</f>
        <v>-5552.2</v>
      </c>
      <c r="G40" s="2">
        <f>-SUMIF('1.2 FY2017'!$B:$B,'2.1 Database'!B40,'1.2 FY2017'!$F:$F)</f>
        <v>-23069.654999999999</v>
      </c>
      <c r="H40" s="2">
        <f>-SUMIF('1.3 FY2018'!$B:$B,'2.1 Database'!B40,'1.3 FY2018'!$F:$F)</f>
        <v>-4194.2999999999993</v>
      </c>
      <c r="I40" s="2" t="s">
        <v>227</v>
      </c>
      <c r="K40" s="2">
        <f>COUNTIF('2.2 P&amp;L statement'!$B$4:$B$24,'2.1 Database'!I40)</f>
        <v>1</v>
      </c>
    </row>
    <row r="41" spans="2:11" x14ac:dyDescent="0.15">
      <c r="B41" s="2" t="s">
        <v>153</v>
      </c>
      <c r="C41" s="2" t="str">
        <f>VLOOKUP($B41,'1.1 FY2016'!$B$5:$E$61,2,FALSE)</f>
        <v>Legal expenses</v>
      </c>
      <c r="D41" s="2">
        <f>VLOOKUP($B41,'1.1 FY2016'!$B$5:$E$61,3,FALSE)</f>
        <v>111111</v>
      </c>
      <c r="E41" s="2" t="str">
        <f>VLOOKUP($B41,'1.1 FY2016'!$B$5:$E$61,4,FALSE)</f>
        <v>External</v>
      </c>
      <c r="F41" s="2">
        <f>-SUMIF('1.1 FY2016'!$B:$B,'2.1 Database'!B41,'1.1 FY2016'!$F:$F)</f>
        <v>-43868.975999999995</v>
      </c>
      <c r="G41" s="2">
        <f>-SUMIF('1.2 FY2017'!$B:$B,'2.1 Database'!B41,'1.2 FY2017'!$F:$F)</f>
        <v>-208366.935</v>
      </c>
      <c r="H41" s="2">
        <f>-SUMIF('1.3 FY2018'!$B:$B,'2.1 Database'!B41,'1.3 FY2018'!$F:$F)</f>
        <v>-106525.708</v>
      </c>
      <c r="I41" s="2" t="s">
        <v>227</v>
      </c>
      <c r="K41" s="2">
        <f>COUNTIF('2.2 P&amp;L statement'!$B$4:$B$24,'2.1 Database'!I41)</f>
        <v>1</v>
      </c>
    </row>
    <row r="42" spans="2:11" x14ac:dyDescent="0.15">
      <c r="B42" s="2" t="s">
        <v>154</v>
      </c>
      <c r="C42" s="2" t="str">
        <f>VLOOKUP($B42,'1.1 FY2016'!$B$5:$E$61,2,FALSE)</f>
        <v>Misc costs</v>
      </c>
      <c r="D42" s="2">
        <f>VLOOKUP($B42,'1.1 FY2016'!$B$5:$E$61,3,FALSE)</f>
        <v>111101</v>
      </c>
      <c r="E42" s="2" t="str">
        <f>VLOOKUP($B42,'1.1 FY2016'!$B$5:$E$61,4,FALSE)</f>
        <v>Not assigned</v>
      </c>
      <c r="F42" s="2">
        <f>-SUMIF('1.1 FY2016'!$B:$B,'2.1 Database'!B42,'1.1 FY2016'!$F:$F)</f>
        <v>-10934.671999999999</v>
      </c>
      <c r="G42" s="2">
        <f>-SUMIF('1.2 FY2017'!$B:$B,'2.1 Database'!B42,'1.2 FY2017'!$F:$F)</f>
        <v>-20323.309999999998</v>
      </c>
      <c r="H42" s="2">
        <f>-SUMIF('1.3 FY2018'!$B:$B,'2.1 Database'!B42,'1.3 FY2018'!$F:$F)</f>
        <v>-109811.284</v>
      </c>
      <c r="I42" s="2" t="s">
        <v>227</v>
      </c>
      <c r="K42" s="2">
        <f>COUNTIF('2.2 P&amp;L statement'!$B$4:$B$24,'2.1 Database'!I42)</f>
        <v>1</v>
      </c>
    </row>
    <row r="43" spans="2:11" x14ac:dyDescent="0.15">
      <c r="B43" s="2" t="s">
        <v>155</v>
      </c>
      <c r="C43" s="2" t="str">
        <f>VLOOKUP($B43,'1.1 FY2016'!$B$5:$E$61,2,FALSE)</f>
        <v>Consulting fees</v>
      </c>
      <c r="D43" s="2">
        <f>VLOOKUP($B43,'1.1 FY2016'!$B$5:$E$61,3,FALSE)</f>
        <v>111111</v>
      </c>
      <c r="E43" s="2" t="str">
        <f>VLOOKUP($B43,'1.1 FY2016'!$B$5:$E$61,4,FALSE)</f>
        <v>External</v>
      </c>
      <c r="F43" s="2">
        <f>-SUMIF('1.1 FY2016'!$B:$B,'2.1 Database'!B43,'1.1 FY2016'!$F:$F)</f>
        <v>-20400</v>
      </c>
      <c r="G43" s="2">
        <f>-SUMIF('1.2 FY2017'!$B:$B,'2.1 Database'!B43,'1.2 FY2017'!$F:$F)</f>
        <v>-169489</v>
      </c>
      <c r="H43" s="2">
        <f>-SUMIF('1.3 FY2018'!$B:$B,'2.1 Database'!B43,'1.3 FY2018'!$F:$F)</f>
        <v>-61111.483999999997</v>
      </c>
      <c r="I43" s="2" t="s">
        <v>227</v>
      </c>
      <c r="K43" s="2">
        <f>COUNTIF('2.2 P&amp;L statement'!$B$4:$B$24,'2.1 Database'!I43)</f>
        <v>1</v>
      </c>
    </row>
    <row r="44" spans="2:11" x14ac:dyDescent="0.15">
      <c r="B44" s="2" t="s">
        <v>156</v>
      </c>
      <c r="C44" s="2" t="str">
        <f>VLOOKUP($B44,'1.1 FY2016'!$B$5:$E$61,2,FALSE)</f>
        <v>Misc extraordinary expenses</v>
      </c>
      <c r="D44" s="2">
        <f>VLOOKUP($B44,'1.1 FY2016'!$B$5:$E$61,3,FALSE)</f>
        <v>105</v>
      </c>
      <c r="E44" s="2" t="str">
        <f>VLOOKUP($B44,'1.1 FY2016'!$B$5:$E$61,4,FALSE)</f>
        <v>Generco Healthcare Ltd</v>
      </c>
      <c r="F44" s="2">
        <f>-SUMIF('1.1 FY2016'!$B:$B,'2.1 Database'!B44,'1.1 FY2016'!$F:$F)</f>
        <v>0</v>
      </c>
      <c r="G44" s="2">
        <f>-SUMIF('1.2 FY2017'!$B:$B,'2.1 Database'!B44,'1.2 FY2017'!$F:$F)</f>
        <v>0</v>
      </c>
      <c r="H44" s="2">
        <f>-SUMIF('1.3 FY2018'!$B:$B,'2.1 Database'!B44,'1.3 FY2018'!$F:$F)</f>
        <v>-1684415.2999999998</v>
      </c>
      <c r="I44" s="2" t="s">
        <v>227</v>
      </c>
      <c r="K44" s="2">
        <f>COUNTIF('2.2 P&amp;L statement'!$B$4:$B$24,'2.1 Database'!I44)</f>
        <v>1</v>
      </c>
    </row>
    <row r="45" spans="2:11" x14ac:dyDescent="0.15">
      <c r="B45" s="2" t="s">
        <v>157</v>
      </c>
      <c r="C45" s="2" t="str">
        <f>VLOOKUP($B45,'1.1 FY2016'!$B$5:$E$61,2,FALSE)</f>
        <v>Misc extraordinary expenses</v>
      </c>
      <c r="D45" s="2">
        <f>VLOOKUP($B45,'1.1 FY2016'!$B$5:$E$61,3,FALSE)</f>
        <v>111111</v>
      </c>
      <c r="E45" s="2" t="str">
        <f>VLOOKUP($B45,'1.1 FY2016'!$B$5:$E$61,4,FALSE)</f>
        <v>External</v>
      </c>
      <c r="F45" s="2">
        <f>-SUMIF('1.1 FY2016'!$B:$B,'2.1 Database'!B45,'1.1 FY2016'!$F:$F)</f>
        <v>-563918.152</v>
      </c>
      <c r="G45" s="2">
        <f>-SUMIF('1.2 FY2017'!$B:$B,'2.1 Database'!B45,'1.2 FY2017'!$F:$F)</f>
        <v>-638869.13</v>
      </c>
      <c r="H45" s="2">
        <f>-SUMIF('1.3 FY2018'!$B:$B,'2.1 Database'!B45,'1.3 FY2018'!$F:$F)</f>
        <v>-575626.2649999999</v>
      </c>
      <c r="I45" s="2" t="s">
        <v>227</v>
      </c>
      <c r="K45" s="2">
        <f>COUNTIF('2.2 P&amp;L statement'!$B$4:$B$24,'2.1 Database'!I45)</f>
        <v>1</v>
      </c>
    </row>
    <row r="46" spans="2:11" x14ac:dyDescent="0.15">
      <c r="B46" s="2" t="s">
        <v>158</v>
      </c>
      <c r="C46" s="2" t="str">
        <f>VLOOKUP($B46,'1.1 FY2016'!$B$5:$E$61,2,FALSE)</f>
        <v>Difference from eliminations</v>
      </c>
      <c r="D46" s="2">
        <f>VLOOKUP($B46,'1.1 FY2016'!$B$5:$E$61,3,FALSE)</f>
        <v>1009</v>
      </c>
      <c r="E46" s="2" t="str">
        <f>VLOOKUP($B46,'1.1 FY2016'!$B$5:$E$61,4,FALSE)</f>
        <v>Green Ventures Ltd</v>
      </c>
      <c r="F46" s="2">
        <f>-SUMIF('1.1 FY2016'!$B:$B,'2.1 Database'!B46,'1.1 FY2016'!$F:$F)</f>
        <v>0</v>
      </c>
      <c r="G46" s="2">
        <f>-SUMIF('1.2 FY2017'!$B:$B,'2.1 Database'!B46,'1.2 FY2017'!$F:$F)</f>
        <v>0</v>
      </c>
      <c r="H46" s="2">
        <f>-SUMIF('1.3 FY2018'!$B:$B,'2.1 Database'!B46,'1.3 FY2018'!$F:$F)</f>
        <v>0</v>
      </c>
      <c r="K46" s="2">
        <f>COUNTIF('2.2 P&amp;L statement'!$B$4:$B$24,'2.1 Database'!I46)</f>
        <v>0</v>
      </c>
    </row>
    <row r="47" spans="2:11" x14ac:dyDescent="0.15">
      <c r="B47" s="2" t="s">
        <v>159</v>
      </c>
      <c r="C47" s="2" t="str">
        <f>VLOOKUP($B47,'1.1 FY2016'!$B$5:$E$61,2,FALSE)</f>
        <v>Difference from eliminations</v>
      </c>
      <c r="D47" s="2">
        <f>VLOOKUP($B47,'1.1 FY2016'!$B$5:$E$61,3,FALSE)</f>
        <v>1007</v>
      </c>
      <c r="E47" s="2" t="str">
        <f>VLOOKUP($B47,'1.1 FY2016'!$B$5:$E$61,4,FALSE)</f>
        <v>Generco Sunshine JSC</v>
      </c>
      <c r="F47" s="2">
        <f>-SUMIF('1.1 FY2016'!$B:$B,'2.1 Database'!B47,'1.1 FY2016'!$F:$F)</f>
        <v>0</v>
      </c>
      <c r="G47" s="2">
        <f>-SUMIF('1.2 FY2017'!$B:$B,'2.1 Database'!B47,'1.2 FY2017'!$F:$F)</f>
        <v>0</v>
      </c>
      <c r="H47" s="2">
        <f>-SUMIF('1.3 FY2018'!$B:$B,'2.1 Database'!B47,'1.3 FY2018'!$F:$F)</f>
        <v>0</v>
      </c>
      <c r="K47" s="2">
        <f>COUNTIF('2.2 P&amp;L statement'!$B$4:$B$24,'2.1 Database'!I47)</f>
        <v>0</v>
      </c>
    </row>
    <row r="48" spans="2:11" x14ac:dyDescent="0.15">
      <c r="B48" s="2" t="s">
        <v>160</v>
      </c>
      <c r="C48" s="2" t="str">
        <f>VLOOKUP($B48,'1.1 FY2016'!$B$5:$E$61,2,FALSE)</f>
        <v>Difference from eliminations</v>
      </c>
      <c r="D48" s="2">
        <f>VLOOKUP($B48,'1.1 FY2016'!$B$5:$E$61,3,FALSE)</f>
        <v>1008</v>
      </c>
      <c r="E48" s="2" t="str">
        <f>VLOOKUP($B48,'1.1 FY2016'!$B$5:$E$61,4,FALSE)</f>
        <v>Greenco Ltd</v>
      </c>
      <c r="F48" s="2">
        <f>-SUMIF('1.1 FY2016'!$B:$B,'2.1 Database'!B48,'1.1 FY2016'!$F:$F)</f>
        <v>0</v>
      </c>
      <c r="G48" s="2">
        <f>-SUMIF('1.2 FY2017'!$B:$B,'2.1 Database'!B48,'1.2 FY2017'!$F:$F)</f>
        <v>0</v>
      </c>
      <c r="H48" s="2">
        <f>-SUMIF('1.3 FY2018'!$B:$B,'2.1 Database'!B48,'1.3 FY2018'!$F:$F)</f>
        <v>0</v>
      </c>
      <c r="K48" s="2">
        <f>COUNTIF('2.2 P&amp;L statement'!$B$4:$B$24,'2.1 Database'!I48)</f>
        <v>0</v>
      </c>
    </row>
    <row r="49" spans="2:11" x14ac:dyDescent="0.15">
      <c r="B49" s="2" t="s">
        <v>161</v>
      </c>
      <c r="C49" s="2" t="str">
        <f>VLOOKUP($B49,'1.1 FY2016'!$B$5:$E$61,2,FALSE)</f>
        <v>Interest income</v>
      </c>
      <c r="D49" s="2">
        <f>VLOOKUP($B49,'1.1 FY2016'!$B$5:$E$61,3,FALSE)</f>
        <v>1009</v>
      </c>
      <c r="E49" s="2" t="str">
        <f>VLOOKUP($B49,'1.1 FY2016'!$B$5:$E$61,4,FALSE)</f>
        <v>Green Ventures Ltd</v>
      </c>
      <c r="F49" s="2">
        <f>-SUMIF('1.1 FY2016'!$B:$B,'2.1 Database'!B49,'1.1 FY2016'!$F:$F)</f>
        <v>0</v>
      </c>
      <c r="G49" s="2">
        <f>-SUMIF('1.2 FY2017'!$B:$B,'2.1 Database'!B49,'1.2 FY2017'!$F:$F)</f>
        <v>0</v>
      </c>
      <c r="H49" s="2">
        <f>-SUMIF('1.3 FY2018'!$B:$B,'2.1 Database'!B49,'1.3 FY2018'!$F:$F)</f>
        <v>0</v>
      </c>
      <c r="I49" s="2" t="s">
        <v>233</v>
      </c>
      <c r="K49" s="2">
        <f>COUNTIF('2.2 P&amp;L statement'!$B$4:$B$24,'2.1 Database'!I49)</f>
        <v>1</v>
      </c>
    </row>
    <row r="50" spans="2:11" x14ac:dyDescent="0.15">
      <c r="B50" s="2" t="s">
        <v>162</v>
      </c>
      <c r="C50" s="2" t="str">
        <f>VLOOKUP($B50,'1.1 FY2016'!$B$5:$E$61,2,FALSE)</f>
        <v>Interest income</v>
      </c>
      <c r="D50" s="2">
        <f>VLOOKUP($B50,'1.1 FY2016'!$B$5:$E$61,3,FALSE)</f>
        <v>1007</v>
      </c>
      <c r="E50" s="2" t="str">
        <f>VLOOKUP($B50,'1.1 FY2016'!$B$5:$E$61,4,FALSE)</f>
        <v>Generco Sunshine JSC</v>
      </c>
      <c r="F50" s="2">
        <f>-SUMIF('1.1 FY2016'!$B:$B,'2.1 Database'!B50,'1.1 FY2016'!$F:$F)</f>
        <v>0</v>
      </c>
      <c r="G50" s="2">
        <f>-SUMIF('1.2 FY2017'!$B:$B,'2.1 Database'!B50,'1.2 FY2017'!$F:$F)</f>
        <v>0</v>
      </c>
      <c r="H50" s="2">
        <f>-SUMIF('1.3 FY2018'!$B:$B,'2.1 Database'!B50,'1.3 FY2018'!$F:$F)</f>
        <v>0</v>
      </c>
      <c r="I50" s="2" t="s">
        <v>233</v>
      </c>
      <c r="K50" s="2">
        <f>COUNTIF('2.2 P&amp;L statement'!$B$4:$B$24,'2.1 Database'!I50)</f>
        <v>1</v>
      </c>
    </row>
    <row r="51" spans="2:11" x14ac:dyDescent="0.15">
      <c r="B51" s="2" t="s">
        <v>163</v>
      </c>
      <c r="C51" s="2" t="str">
        <f>VLOOKUP($B51,'1.1 FY2016'!$B$5:$E$61,2,FALSE)</f>
        <v>Interest income</v>
      </c>
      <c r="D51" s="2">
        <f>VLOOKUP($B51,'1.1 FY2016'!$B$5:$E$61,3,FALSE)</f>
        <v>1008</v>
      </c>
      <c r="E51" s="2" t="str">
        <f>VLOOKUP($B51,'1.1 FY2016'!$B$5:$E$61,4,FALSE)</f>
        <v>Greenco Ltd</v>
      </c>
      <c r="F51" s="2">
        <f>-SUMIF('1.1 FY2016'!$B:$B,'2.1 Database'!B51,'1.1 FY2016'!$F:$F)</f>
        <v>0</v>
      </c>
      <c r="G51" s="2">
        <f>-SUMIF('1.2 FY2017'!$B:$B,'2.1 Database'!B51,'1.2 FY2017'!$F:$F)</f>
        <v>0</v>
      </c>
      <c r="H51" s="2">
        <f>-SUMIF('1.3 FY2018'!$B:$B,'2.1 Database'!B51,'1.3 FY2018'!$F:$F)</f>
        <v>0</v>
      </c>
      <c r="I51" s="2" t="s">
        <v>233</v>
      </c>
      <c r="K51" s="2">
        <f>COUNTIF('2.2 P&amp;L statement'!$B$4:$B$24,'2.1 Database'!I51)</f>
        <v>1</v>
      </c>
    </row>
    <row r="52" spans="2:11" x14ac:dyDescent="0.15">
      <c r="B52" s="2" t="s">
        <v>164</v>
      </c>
      <c r="C52" s="2" t="str">
        <f>VLOOKUP($B52,'1.1 FY2016'!$B$5:$E$61,2,FALSE)</f>
        <v>Interest income</v>
      </c>
      <c r="D52" s="2">
        <f>VLOOKUP($B52,'1.1 FY2016'!$B$5:$E$61,3,FALSE)</f>
        <v>1240</v>
      </c>
      <c r="E52" s="2" t="str">
        <f>VLOOKUP($B52,'1.1 FY2016'!$B$5:$E$61,4,FALSE)</f>
        <v xml:space="preserve">Generco UK </v>
      </c>
      <c r="F52" s="2">
        <f>-SUMIF('1.1 FY2016'!$B:$B,'2.1 Database'!B52,'1.1 FY2016'!$F:$F)</f>
        <v>35810.228000000003</v>
      </c>
      <c r="G52" s="2">
        <f>-SUMIF('1.2 FY2017'!$B:$B,'2.1 Database'!B52,'1.2 FY2017'!$F:$F)</f>
        <v>34224.959999999999</v>
      </c>
      <c r="H52" s="2">
        <f>-SUMIF('1.3 FY2018'!$B:$B,'2.1 Database'!B52,'1.3 FY2018'!$F:$F)</f>
        <v>0</v>
      </c>
      <c r="I52" s="2" t="s">
        <v>233</v>
      </c>
      <c r="K52" s="2">
        <f>COUNTIF('2.2 P&amp;L statement'!$B$4:$B$24,'2.1 Database'!I52)</f>
        <v>1</v>
      </c>
    </row>
    <row r="53" spans="2:11" x14ac:dyDescent="0.15">
      <c r="B53" s="2" t="s">
        <v>165</v>
      </c>
      <c r="C53" s="2" t="str">
        <f>VLOOKUP($B53,'1.1 FY2016'!$B$5:$E$61,2,FALSE)</f>
        <v>Interest income</v>
      </c>
      <c r="D53" s="2">
        <f>VLOOKUP($B53,'1.1 FY2016'!$B$5:$E$61,3,FALSE)</f>
        <v>111111</v>
      </c>
      <c r="E53" s="2" t="str">
        <f>VLOOKUP($B53,'1.1 FY2016'!$B$5:$E$61,4,FALSE)</f>
        <v>External</v>
      </c>
      <c r="F53" s="2">
        <f>-SUMIF('1.1 FY2016'!$B:$B,'2.1 Database'!B53,'1.1 FY2016'!$F:$F)</f>
        <v>51927.417999999998</v>
      </c>
      <c r="G53" s="2">
        <f>-SUMIF('1.2 FY2017'!$B:$B,'2.1 Database'!B53,'1.2 FY2017'!$F:$F)</f>
        <v>2204.7199999999998</v>
      </c>
      <c r="H53" s="2">
        <f>-SUMIF('1.3 FY2018'!$B:$B,'2.1 Database'!B53,'1.3 FY2018'!$F:$F)</f>
        <v>73809.511999999988</v>
      </c>
      <c r="I53" s="2" t="s">
        <v>233</v>
      </c>
      <c r="K53" s="2">
        <f>COUNTIF('2.2 P&amp;L statement'!$B$4:$B$24,'2.1 Database'!I53)</f>
        <v>1</v>
      </c>
    </row>
    <row r="54" spans="2:11" x14ac:dyDescent="0.15">
      <c r="B54" s="2" t="s">
        <v>166</v>
      </c>
      <c r="C54" s="2" t="str">
        <f>VLOOKUP($B54,'1.1 FY2016'!$B$5:$E$61,2,FALSE)</f>
        <v>Capitalized interest</v>
      </c>
      <c r="D54" s="2">
        <f>VLOOKUP($B54,'1.1 FY2016'!$B$5:$E$61,3,FALSE)</f>
        <v>111101</v>
      </c>
      <c r="E54" s="2" t="str">
        <f>VLOOKUP($B54,'1.1 FY2016'!$B$5:$E$61,4,FALSE)</f>
        <v>Not assigned</v>
      </c>
      <c r="F54" s="2">
        <f>-SUMIF('1.1 FY2016'!$B:$B,'2.1 Database'!B54,'1.1 FY2016'!$F:$F)</f>
        <v>862270.63399999996</v>
      </c>
      <c r="G54" s="2">
        <f>-SUMIF('1.2 FY2017'!$B:$B,'2.1 Database'!B54,'1.2 FY2017'!$F:$F)</f>
        <v>0</v>
      </c>
      <c r="H54" s="2">
        <f>-SUMIF('1.3 FY2018'!$B:$B,'2.1 Database'!B54,'1.3 FY2018'!$F:$F)</f>
        <v>0</v>
      </c>
      <c r="I54" s="2" t="s">
        <v>67</v>
      </c>
      <c r="K54" s="2">
        <f>COUNTIF('2.2 P&amp;L statement'!$B$4:$B$24,'2.1 Database'!I54)</f>
        <v>1</v>
      </c>
    </row>
    <row r="55" spans="2:11" x14ac:dyDescent="0.15">
      <c r="B55" s="2" t="s">
        <v>167</v>
      </c>
      <c r="C55" s="2" t="str">
        <f>VLOOKUP($B55,'1.1 FY2016'!$B$5:$E$61,2,FALSE)</f>
        <v>Non-recurring costs</v>
      </c>
      <c r="D55" s="2">
        <f>VLOOKUP($B55,'1.1 FY2016'!$B$5:$E$61,3,FALSE)</f>
        <v>111101</v>
      </c>
      <c r="E55" s="2" t="str">
        <f>VLOOKUP($B55,'1.1 FY2016'!$B$5:$E$61,4,FALSE)</f>
        <v>Not assigned</v>
      </c>
      <c r="F55" s="2">
        <f>-SUMIF('1.1 FY2016'!$B:$B,'2.1 Database'!B55,'1.1 FY2016'!$F:$F)</f>
        <v>-22763</v>
      </c>
      <c r="G55" s="2">
        <f>-SUMIF('1.2 FY2017'!$B:$B,'2.1 Database'!B55,'1.2 FY2017'!$F:$F)</f>
        <v>-80617.179999999993</v>
      </c>
      <c r="H55" s="2">
        <f>-SUMIF('1.3 FY2018'!$B:$B,'2.1 Database'!B55,'1.3 FY2018'!$F:$F)</f>
        <v>-7173.195999999999</v>
      </c>
      <c r="I55" s="2" t="s">
        <v>234</v>
      </c>
      <c r="K55" s="2">
        <f>COUNTIF('2.2 P&amp;L statement'!$B$4:$B$24,'2.1 Database'!I55)</f>
        <v>1</v>
      </c>
    </row>
    <row r="56" spans="2:11" x14ac:dyDescent="0.15">
      <c r="B56" s="2" t="s">
        <v>168</v>
      </c>
      <c r="C56" s="2" t="str">
        <f>VLOOKUP($B56,'1.1 FY2016'!$B$5:$E$61,2,FALSE)</f>
        <v>Interest expenses</v>
      </c>
      <c r="D56" s="2">
        <f>VLOOKUP($B56,'1.1 FY2016'!$B$5:$E$61,3,FALSE)</f>
        <v>88</v>
      </c>
      <c r="E56" s="2" t="str">
        <f>VLOOKUP($B56,'1.1 FY2016'!$B$5:$E$61,4,FALSE)</f>
        <v>Generco Ltd</v>
      </c>
      <c r="F56" s="2">
        <f>-SUMIF('1.1 FY2016'!$B:$B,'2.1 Database'!B56,'1.1 FY2016'!$F:$F)</f>
        <v>-2930430.0120000001</v>
      </c>
      <c r="G56" s="2">
        <f>-SUMIF('1.2 FY2017'!$B:$B,'2.1 Database'!B56,'1.2 FY2017'!$F:$F)</f>
        <v>-2752704.22</v>
      </c>
      <c r="H56" s="2">
        <f>-SUMIF('1.3 FY2018'!$B:$B,'2.1 Database'!B56,'1.3 FY2018'!$F:$F)</f>
        <v>-2324465.8859999999</v>
      </c>
      <c r="I56" s="2" t="s">
        <v>233</v>
      </c>
      <c r="K56" s="2">
        <f>COUNTIF('2.2 P&amp;L statement'!$B$4:$B$24,'2.1 Database'!I56)</f>
        <v>1</v>
      </c>
    </row>
    <row r="57" spans="2:11" x14ac:dyDescent="0.15">
      <c r="B57" s="2" t="s">
        <v>169</v>
      </c>
      <c r="C57" s="2" t="str">
        <f>VLOOKUP($B57,'1.1 FY2016'!$B$5:$E$61,2,FALSE)</f>
        <v>Current taxes</v>
      </c>
      <c r="D57" s="2">
        <f>VLOOKUP($B57,'1.1 FY2016'!$B$5:$E$61,3,FALSE)</f>
        <v>111101</v>
      </c>
      <c r="E57" s="2" t="str">
        <f>VLOOKUP($B57,'1.1 FY2016'!$B$5:$E$61,4,FALSE)</f>
        <v>Not assigned</v>
      </c>
      <c r="F57" s="2">
        <f>-SUMIF('1.1 FY2016'!$B:$B,'2.1 Database'!B57,'1.1 FY2016'!$F:$F)</f>
        <v>49378.641999999993</v>
      </c>
      <c r="G57" s="2">
        <f>-SUMIF('1.2 FY2017'!$B:$B,'2.1 Database'!B57,'1.2 FY2017'!$F:$F)</f>
        <v>-496748.70000000007</v>
      </c>
      <c r="H57" s="2">
        <f>-SUMIF('1.3 FY2018'!$B:$B,'2.1 Database'!B57,'1.3 FY2018'!$F:$F)</f>
        <v>-2558.1950000000002</v>
      </c>
      <c r="I57" s="2" t="s">
        <v>235</v>
      </c>
      <c r="K57" s="2">
        <f>COUNTIF('2.2 P&amp;L statement'!$B$4:$B$24,'2.1 Database'!I57)</f>
        <v>1</v>
      </c>
    </row>
    <row r="58" spans="2:11" x14ac:dyDescent="0.15">
      <c r="B58" s="2" t="s">
        <v>170</v>
      </c>
      <c r="C58" s="2" t="str">
        <f>VLOOKUP($B58,'1.1 FY2016'!$B$5:$E$61,2,FALSE)</f>
        <v>Regional taxes</v>
      </c>
      <c r="D58" s="2">
        <f>VLOOKUP($B58,'1.1 FY2016'!$B$5:$E$61,3,FALSE)</f>
        <v>111101</v>
      </c>
      <c r="E58" s="2" t="str">
        <f>VLOOKUP($B58,'1.1 FY2016'!$B$5:$E$61,4,FALSE)</f>
        <v>Not assigned</v>
      </c>
      <c r="F58" s="2">
        <f>-SUMIF('1.1 FY2016'!$B:$B,'2.1 Database'!B58,'1.1 FY2016'!$F:$F)</f>
        <v>-516250.67</v>
      </c>
      <c r="G58" s="2">
        <f>-SUMIF('1.2 FY2017'!$B:$B,'2.1 Database'!B58,'1.2 FY2017'!$F:$F)</f>
        <v>-480872.96000000002</v>
      </c>
      <c r="H58" s="2">
        <f>-SUMIF('1.3 FY2018'!$B:$B,'2.1 Database'!B58,'1.3 FY2018'!$F:$F)</f>
        <v>-522710.353</v>
      </c>
      <c r="I58" s="2" t="s">
        <v>235</v>
      </c>
      <c r="K58" s="2">
        <f>COUNTIF('2.2 P&amp;L statement'!$B$4:$B$24,'2.1 Database'!I58)</f>
        <v>1</v>
      </c>
    </row>
    <row r="59" spans="2:11" x14ac:dyDescent="0.15">
      <c r="B59" s="2" t="s">
        <v>171</v>
      </c>
      <c r="C59" s="2" t="str">
        <f>VLOOKUP($B59,'1.1 FY2016'!$B$5:$E$61,2,FALSE)</f>
        <v>Deferred taxes</v>
      </c>
      <c r="D59" s="2">
        <f>VLOOKUP($B59,'1.1 FY2016'!$B$5:$E$61,3,FALSE)</f>
        <v>111101</v>
      </c>
      <c r="E59" s="2" t="str">
        <f>VLOOKUP($B59,'1.1 FY2016'!$B$5:$E$61,4,FALSE)</f>
        <v>Not assigned</v>
      </c>
      <c r="F59" s="2">
        <f>-SUMIF('1.1 FY2016'!$B:$B,'2.1 Database'!B59,'1.1 FY2016'!$F:$F)</f>
        <v>-21593.093999999997</v>
      </c>
      <c r="G59" s="2">
        <f>-SUMIF('1.2 FY2017'!$B:$B,'2.1 Database'!B59,'1.2 FY2017'!$F:$F)</f>
        <v>-6570.3050000000003</v>
      </c>
      <c r="H59" s="2">
        <f>-SUMIF('1.3 FY2018'!$B:$B,'2.1 Database'!B59,'1.3 FY2018'!$F:$F)</f>
        <v>160303.52199999997</v>
      </c>
      <c r="I59" s="2" t="s">
        <v>235</v>
      </c>
      <c r="K59" s="2">
        <f>COUNTIF('2.2 P&amp;L statement'!$B$4:$B$24,'2.1 Database'!I59)</f>
        <v>1</v>
      </c>
    </row>
    <row r="60" spans="2:11" x14ac:dyDescent="0.15">
      <c r="B60" s="2" t="s">
        <v>172</v>
      </c>
      <c r="C60" s="2" t="str">
        <f>VLOOKUP($B60,'1.1 FY2016'!$B$5:$E$61,2,FALSE)</f>
        <v>Net income/(loss)</v>
      </c>
      <c r="D60" s="2">
        <f>VLOOKUP($B60,'1.1 FY2016'!$B$5:$E$61,3,FALSE)</f>
        <v>111101</v>
      </c>
      <c r="E60" s="2" t="str">
        <f>VLOOKUP($B60,'1.1 FY2016'!$B$5:$E$61,4,FALSE)</f>
        <v>Not assigned</v>
      </c>
      <c r="F60" s="2">
        <f>SUMIF('1.1 FY2016'!$B:$B,'2.1 Database'!B60,'1.1 FY2016'!$F:$F)</f>
        <v>-2904117.9939999986</v>
      </c>
      <c r="G60" s="2">
        <f>SUMIF('1.2 FY2017'!$B:$B,'2.1 Database'!B60,'1.2 FY2017'!$F:$F)</f>
        <v>0</v>
      </c>
      <c r="H60" s="2">
        <f>SUMIF('1.3 FY2018'!$B:$B,'2.1 Database'!B60,'1.3 FY2018'!$F:$F)</f>
        <v>0</v>
      </c>
      <c r="I60" s="2" t="s">
        <v>236</v>
      </c>
      <c r="K60" s="2">
        <f>COUNTIF('2.2 P&amp;L statement'!$B$4:$B$24,'2.1 Database'!I60)</f>
        <v>1</v>
      </c>
    </row>
    <row r="61" spans="2:11" x14ac:dyDescent="0.15">
      <c r="B61" s="2" t="s">
        <v>173</v>
      </c>
      <c r="C61" s="2" t="str">
        <f>VLOOKUP($B61,'1.2 FY2017'!$B$5:$E$86,2,FALSE)</f>
        <v>Core business revenues</v>
      </c>
      <c r="D61" s="2">
        <f>VLOOKUP($B61,'1.2 FY2017'!$B$5:$E$86,3,FALSE)</f>
        <v>105</v>
      </c>
      <c r="E61" s="2" t="str">
        <f>VLOOKUP($B61,'1.2 FY2017'!$B$5:$E$86,4,FALSE)</f>
        <v>Generco Healthcare Ltd</v>
      </c>
      <c r="F61" s="2">
        <f>-SUMIF('1.1 FY2016'!$B:$B,'2.1 Database'!B61,'1.1 FY2016'!$F:$F)</f>
        <v>0</v>
      </c>
      <c r="G61" s="2">
        <f>-SUMIF('1.2 FY2017'!$B:$B,'2.1 Database'!B61,'1.2 FY2017'!$F:$F)</f>
        <v>355396.61499999999</v>
      </c>
      <c r="H61" s="2">
        <f>-SUMIF('1.3 FY2018'!$B:$B,'2.1 Database'!B61,'1.3 FY2018'!$F:$F)</f>
        <v>616462.01899999997</v>
      </c>
      <c r="I61" s="2" t="s">
        <v>237</v>
      </c>
      <c r="K61" s="2">
        <f>COUNTIF('2.2 P&amp;L statement'!$B$4:$B$24,'2.1 Database'!I61)</f>
        <v>1</v>
      </c>
    </row>
    <row r="62" spans="2:11" x14ac:dyDescent="0.15">
      <c r="B62" s="2" t="s">
        <v>174</v>
      </c>
      <c r="C62" s="2" t="str">
        <f>VLOOKUP($B62,'1.2 FY2017'!$B$5:$E$86,2,FALSE)</f>
        <v>Capitalized costs</v>
      </c>
      <c r="D62" s="2" t="str">
        <f>VLOOKUP($B62,'1.2 FY2017'!$B$5:$E$86,3,FALSE)</f>
        <v>1086</v>
      </c>
      <c r="E62" s="2" t="str">
        <f>VLOOKUP($B62,'1.2 FY2017'!$B$5:$E$86,4,FALSE)</f>
        <v>G&amp;Resources Ltd</v>
      </c>
      <c r="F62" s="2">
        <f>-SUMIF('1.1 FY2016'!$B:$B,'2.1 Database'!B62,'1.1 FY2016'!$F:$F)</f>
        <v>0</v>
      </c>
      <c r="G62" s="2">
        <f>-SUMIF('1.2 FY2017'!$B:$B,'2.1 Database'!B62,'1.2 FY2017'!$F:$F)</f>
        <v>420017.14999999997</v>
      </c>
      <c r="H62" s="2">
        <f>-SUMIF('1.3 FY2018'!$B:$B,'2.1 Database'!B62,'1.3 FY2018'!$F:$F)</f>
        <v>0</v>
      </c>
      <c r="I62" s="2" t="s">
        <v>67</v>
      </c>
      <c r="K62" s="2">
        <f>COUNTIF('2.2 P&amp;L statement'!$B$4:$B$24,'2.1 Database'!I62)</f>
        <v>1</v>
      </c>
    </row>
    <row r="63" spans="2:11" x14ac:dyDescent="0.15">
      <c r="B63" s="2" t="s">
        <v>175</v>
      </c>
      <c r="C63" s="2" t="str">
        <f>VLOOKUP($B63,'1.2 FY2017'!$B$5:$E$86,2,FALSE)</f>
        <v>Utility charges</v>
      </c>
      <c r="D63" s="2">
        <f>VLOOKUP($B63,'1.2 FY2017'!$B$5:$E$86,3,FALSE)</f>
        <v>111111</v>
      </c>
      <c r="E63" s="2" t="str">
        <f>VLOOKUP($B63,'1.2 FY2017'!$B$5:$E$86,4,FALSE)</f>
        <v>External</v>
      </c>
      <c r="F63" s="2">
        <f>-SUMIF('1.1 FY2016'!$B:$B,'2.1 Database'!B63,'1.1 FY2016'!$F:$F)</f>
        <v>0</v>
      </c>
      <c r="G63" s="2">
        <f>-SUMIF('1.2 FY2017'!$B:$B,'2.1 Database'!B63,'1.2 FY2017'!$F:$F)</f>
        <v>-14589.33</v>
      </c>
      <c r="H63" s="2">
        <f>-SUMIF('1.3 FY2018'!$B:$B,'2.1 Database'!B63,'1.3 FY2018'!$F:$F)</f>
        <v>-20504.509999999998</v>
      </c>
      <c r="I63" s="2" t="s">
        <v>227</v>
      </c>
      <c r="K63" s="2">
        <f>COUNTIF('2.2 P&amp;L statement'!$B$4:$B$24,'2.1 Database'!I63)</f>
        <v>1</v>
      </c>
    </row>
    <row r="64" spans="2:11" x14ac:dyDescent="0.15">
      <c r="B64" s="2" t="s">
        <v>176</v>
      </c>
      <c r="C64" s="2" t="str">
        <f>VLOOKUP($B64,'1.2 FY2017'!$B$5:$E$86,2,FALSE)</f>
        <v>R&amp;D expenses</v>
      </c>
      <c r="D64" s="2">
        <f>VLOOKUP($B64,'1.2 FY2017'!$B$5:$E$86,3,FALSE)</f>
        <v>19</v>
      </c>
      <c r="E64" s="2" t="str">
        <f>VLOOKUP($B64,'1.2 FY2017'!$B$5:$E$86,4,FALSE)</f>
        <v>Generco Cosmetics Ltd</v>
      </c>
      <c r="F64" s="2">
        <f>-SUMIF('1.1 FY2016'!$B:$B,'2.1 Database'!B64,'1.1 FY2016'!$F:$F)</f>
        <v>0</v>
      </c>
      <c r="G64" s="2">
        <f>-SUMIF('1.2 FY2017'!$B:$B,'2.1 Database'!B64,'1.2 FY2017'!$F:$F)</f>
        <v>-38521</v>
      </c>
      <c r="H64" s="2">
        <f>-SUMIF('1.3 FY2018'!$B:$B,'2.1 Database'!B64,'1.3 FY2018'!$F:$F)</f>
        <v>0</v>
      </c>
      <c r="I64" s="2" t="s">
        <v>227</v>
      </c>
      <c r="K64" s="2">
        <f>COUNTIF('2.2 P&amp;L statement'!$B$4:$B$24,'2.1 Database'!I64)</f>
        <v>1</v>
      </c>
    </row>
    <row r="65" spans="2:11" x14ac:dyDescent="0.15">
      <c r="B65" s="2" t="s">
        <v>177</v>
      </c>
      <c r="C65" s="2" t="str">
        <f>VLOOKUP($B65,'1.2 FY2017'!$B$5:$E$86,2,FALSE)</f>
        <v>R&amp;D expenses</v>
      </c>
      <c r="D65" s="2" t="str">
        <f>VLOOKUP($B65,'1.2 FY2017'!$B$5:$E$86,3,FALSE)</f>
        <v>1283</v>
      </c>
      <c r="E65" s="2" t="str">
        <f>VLOOKUP($B65,'1.2 FY2017'!$B$5:$E$86,4,FALSE)</f>
        <v>Generco Ventures Ltd</v>
      </c>
      <c r="F65" s="2">
        <f>-SUMIF('1.1 FY2016'!$B:$B,'2.1 Database'!B65,'1.1 FY2016'!$F:$F)</f>
        <v>0</v>
      </c>
      <c r="G65" s="2">
        <f>-SUMIF('1.2 FY2017'!$B:$B,'2.1 Database'!B65,'1.2 FY2017'!$F:$F)</f>
        <v>-1820</v>
      </c>
      <c r="H65" s="2">
        <f>-SUMIF('1.3 FY2018'!$B:$B,'2.1 Database'!B65,'1.3 FY2018'!$F:$F)</f>
        <v>0</v>
      </c>
      <c r="I65" s="2" t="s">
        <v>227</v>
      </c>
      <c r="K65" s="2">
        <f>COUNTIF('2.2 P&amp;L statement'!$B$4:$B$24,'2.1 Database'!I65)</f>
        <v>1</v>
      </c>
    </row>
    <row r="66" spans="2:11" x14ac:dyDescent="0.15">
      <c r="B66" s="2" t="s">
        <v>178</v>
      </c>
      <c r="C66" s="2" t="str">
        <f>VLOOKUP($B66,'1.2 FY2017'!$B$5:$E$86,2,FALSE)</f>
        <v>R&amp;D expenses</v>
      </c>
      <c r="D66" s="2" t="str">
        <f>VLOOKUP($B66,'1.2 FY2017'!$B$5:$E$86,3,FALSE)</f>
        <v>1924</v>
      </c>
      <c r="E66" s="2" t="str">
        <f>VLOOKUP($B66,'1.2 FY2017'!$B$5:$E$86,4,FALSE)</f>
        <v>Generco Infrastructure Ltd</v>
      </c>
      <c r="F66" s="2">
        <f>-SUMIF('1.1 FY2016'!$B:$B,'2.1 Database'!B66,'1.1 FY2016'!$F:$F)</f>
        <v>0</v>
      </c>
      <c r="G66" s="2">
        <f>-SUMIF('1.2 FY2017'!$B:$B,'2.1 Database'!B66,'1.2 FY2017'!$F:$F)</f>
        <v>-10448.129999999999</v>
      </c>
      <c r="H66" s="2">
        <f>-SUMIF('1.3 FY2018'!$B:$B,'2.1 Database'!B66,'1.3 FY2018'!$F:$F)</f>
        <v>-673.34299999999985</v>
      </c>
      <c r="I66" s="2" t="s">
        <v>227</v>
      </c>
      <c r="K66" s="2">
        <f>COUNTIF('2.2 P&amp;L statement'!$B$4:$B$24,'2.1 Database'!I66)</f>
        <v>1</v>
      </c>
    </row>
    <row r="67" spans="2:11" x14ac:dyDescent="0.15">
      <c r="B67" s="2" t="s">
        <v>179</v>
      </c>
      <c r="C67" s="2" t="str">
        <f>VLOOKUP($B67,'1.2 FY2017'!$B$5:$E$86,2,FALSE)</f>
        <v>R&amp;D expenses</v>
      </c>
      <c r="D67" s="2" t="str">
        <f>VLOOKUP($B67,'1.2 FY2017'!$B$5:$E$86,3,FALSE)</f>
        <v>2486</v>
      </c>
      <c r="E67" s="2" t="str">
        <f>VLOOKUP($B67,'1.2 FY2017'!$B$5:$E$86,4,FALSE)</f>
        <v>Generco Exloration Ltd</v>
      </c>
      <c r="F67" s="2">
        <f>-SUMIF('1.1 FY2016'!$B:$B,'2.1 Database'!B67,'1.1 FY2016'!$F:$F)</f>
        <v>0</v>
      </c>
      <c r="G67" s="2">
        <f>-SUMIF('1.2 FY2017'!$B:$B,'2.1 Database'!B67,'1.2 FY2017'!$F:$F)</f>
        <v>-10412.5</v>
      </c>
      <c r="H67" s="2">
        <f>-SUMIF('1.3 FY2018'!$B:$B,'2.1 Database'!B67,'1.3 FY2018'!$F:$F)</f>
        <v>0</v>
      </c>
      <c r="I67" s="2" t="s">
        <v>227</v>
      </c>
      <c r="K67" s="2">
        <f>COUNTIF('2.2 P&amp;L statement'!$B$4:$B$24,'2.1 Database'!I67)</f>
        <v>1</v>
      </c>
    </row>
    <row r="68" spans="2:11" x14ac:dyDescent="0.15">
      <c r="B68" s="2" t="s">
        <v>180</v>
      </c>
      <c r="C68" s="2" t="str">
        <f>VLOOKUP($B68,'1.2 FY2017'!$B$5:$E$86,2,FALSE)</f>
        <v>Other personnel expenses</v>
      </c>
      <c r="D68" s="2">
        <f>VLOOKUP($B68,'1.2 FY2017'!$B$5:$E$86,3,FALSE)</f>
        <v>111101</v>
      </c>
      <c r="E68" s="2" t="str">
        <f>VLOOKUP($B68,'1.2 FY2017'!$B$5:$E$86,4,FALSE)</f>
        <v>Not assigned</v>
      </c>
      <c r="F68" s="2">
        <f>-SUMIF('1.1 FY2016'!$B:$B,'2.1 Database'!B68,'1.1 FY2016'!$F:$F)</f>
        <v>0</v>
      </c>
      <c r="G68" s="2">
        <f>-SUMIF('1.2 FY2017'!$B:$B,'2.1 Database'!B68,'1.2 FY2017'!$F:$F)</f>
        <v>-6919.8499999999995</v>
      </c>
      <c r="H68" s="2">
        <f>-SUMIF('1.3 FY2018'!$B:$B,'2.1 Database'!B68,'1.3 FY2018'!$F:$F)</f>
        <v>0</v>
      </c>
      <c r="I68" s="2" t="s">
        <v>228</v>
      </c>
      <c r="K68" s="2">
        <f>COUNTIF('2.2 P&amp;L statement'!$B$4:$B$24,'2.1 Database'!I68)</f>
        <v>1</v>
      </c>
    </row>
    <row r="69" spans="2:11" x14ac:dyDescent="0.15">
      <c r="B69" s="2" t="s">
        <v>181</v>
      </c>
      <c r="C69" s="2" t="str">
        <f>VLOOKUP($B69,'1.2 FY2017'!$B$5:$E$86,2,FALSE)</f>
        <v>D&amp;A</v>
      </c>
      <c r="D69" s="2">
        <f>VLOOKUP($B69,'1.2 FY2017'!$B$5:$E$86,3,FALSE)</f>
        <v>111101</v>
      </c>
      <c r="E69" s="2" t="str">
        <f>VLOOKUP($B69,'1.2 FY2017'!$B$5:$E$86,4,FALSE)</f>
        <v>Not assigned</v>
      </c>
      <c r="F69" s="2">
        <f>-SUMIF('1.1 FY2016'!$B:$B,'2.1 Database'!B69,'1.1 FY2016'!$F:$F)</f>
        <v>0</v>
      </c>
      <c r="G69" s="2">
        <f>-SUMIF('1.2 FY2017'!$B:$B,'2.1 Database'!B69,'1.2 FY2017'!$F:$F)</f>
        <v>-146328.94499999998</v>
      </c>
      <c r="H69" s="2">
        <f>-SUMIF('1.3 FY2018'!$B:$B,'2.1 Database'!B69,'1.3 FY2018'!$F:$F)</f>
        <v>-12593.355</v>
      </c>
      <c r="I69" s="2" t="s">
        <v>72</v>
      </c>
      <c r="K69" s="2">
        <f>COUNTIF('2.2 P&amp;L statement'!$B$4:$B$24,'2.1 Database'!I69)</f>
        <v>1</v>
      </c>
    </row>
    <row r="70" spans="2:11" x14ac:dyDescent="0.15">
      <c r="B70" s="2" t="s">
        <v>182</v>
      </c>
      <c r="C70" s="2" t="str">
        <f>VLOOKUP($B70,'1.2 FY2017'!$B$5:$E$86,2,FALSE)</f>
        <v>Gains from disposal of PP&amp;E</v>
      </c>
      <c r="D70" s="2">
        <f>VLOOKUP($B70,'1.2 FY2017'!$B$5:$E$86,3,FALSE)</f>
        <v>111111</v>
      </c>
      <c r="E70" s="2" t="str">
        <f>VLOOKUP($B70,'1.2 FY2017'!$B$5:$E$86,4,FALSE)</f>
        <v>External</v>
      </c>
      <c r="F70" s="2">
        <f>-SUMIF('1.1 FY2016'!$B:$B,'2.1 Database'!B70,'1.1 FY2016'!$F:$F)</f>
        <v>0</v>
      </c>
      <c r="G70" s="2">
        <f>-SUMIF('1.2 FY2017'!$B:$B,'2.1 Database'!B70,'1.2 FY2017'!$F:$F)</f>
        <v>121553.07499999998</v>
      </c>
      <c r="H70" s="2">
        <f>-SUMIF('1.3 FY2018'!$B:$B,'2.1 Database'!B70,'1.3 FY2018'!$F:$F)</f>
        <v>0</v>
      </c>
      <c r="I70" s="2" t="s">
        <v>234</v>
      </c>
      <c r="K70" s="2">
        <f>COUNTIF('2.2 P&amp;L statement'!$B$4:$B$24,'2.1 Database'!I70)</f>
        <v>1</v>
      </c>
    </row>
    <row r="71" spans="2:11" x14ac:dyDescent="0.15">
      <c r="B71" s="2" t="s">
        <v>183</v>
      </c>
      <c r="C71" s="2" t="str">
        <f>VLOOKUP($B71,'1.2 FY2017'!$B$5:$E$86,2,FALSE)</f>
        <v>Corporate recharges</v>
      </c>
      <c r="D71" s="2">
        <f>VLOOKUP($B71,'1.2 FY2017'!$B$5:$E$86,3,FALSE)</f>
        <v>19</v>
      </c>
      <c r="E71" s="2" t="str">
        <f>VLOOKUP($B71,'1.2 FY2017'!$B$5:$E$86,4,FALSE)</f>
        <v>Generco Cosmetics Ltd</v>
      </c>
      <c r="F71" s="2">
        <f>-SUMIF('1.1 FY2016'!$B:$B,'2.1 Database'!B71,'1.1 FY2016'!$F:$F)</f>
        <v>0</v>
      </c>
      <c r="G71" s="2">
        <f>-SUMIF('1.2 FY2017'!$B:$B,'2.1 Database'!B71,'1.2 FY2017'!$F:$F)</f>
        <v>416278.66</v>
      </c>
      <c r="H71" s="2">
        <f>-SUMIF('1.3 FY2018'!$B:$B,'2.1 Database'!B71,'1.3 FY2018'!$F:$F)</f>
        <v>622966.38600000006</v>
      </c>
      <c r="I71" s="2" t="s">
        <v>229</v>
      </c>
      <c r="K71" s="2">
        <f>COUNTIF('2.2 P&amp;L statement'!$B$4:$B$24,'2.1 Database'!I71)</f>
        <v>1</v>
      </c>
    </row>
    <row r="72" spans="2:11" x14ac:dyDescent="0.15">
      <c r="B72" s="2" t="s">
        <v>184</v>
      </c>
      <c r="C72" s="2" t="str">
        <f>VLOOKUP($B72,'1.2 FY2017'!$B$5:$E$86,2,FALSE)</f>
        <v>Corporate recharges</v>
      </c>
      <c r="D72" s="2" t="str">
        <f>VLOOKUP($B72,'1.2 FY2017'!$B$5:$E$86,3,FALSE)</f>
        <v>1076</v>
      </c>
      <c r="E72" s="2" t="str">
        <f>VLOOKUP($B72,'1.2 FY2017'!$B$5:$E$86,4,FALSE)</f>
        <v>Generco Trading Ltd</v>
      </c>
      <c r="F72" s="2">
        <f>-SUMIF('1.1 FY2016'!$B:$B,'2.1 Database'!B72,'1.1 FY2016'!$F:$F)</f>
        <v>0</v>
      </c>
      <c r="G72" s="2">
        <f>-SUMIF('1.2 FY2017'!$B:$B,'2.1 Database'!B72,'1.2 FY2017'!$F:$F)</f>
        <v>364243.84499999997</v>
      </c>
      <c r="H72" s="2">
        <f>-SUMIF('1.3 FY2018'!$B:$B,'2.1 Database'!B72,'1.3 FY2018'!$F:$F)</f>
        <v>0</v>
      </c>
      <c r="I72" s="2" t="s">
        <v>229</v>
      </c>
      <c r="K72" s="2">
        <f>COUNTIF('2.2 P&amp;L statement'!$B$4:$B$24,'2.1 Database'!I72)</f>
        <v>1</v>
      </c>
    </row>
    <row r="73" spans="2:11" x14ac:dyDescent="0.15">
      <c r="B73" s="2" t="s">
        <v>185</v>
      </c>
      <c r="C73" s="2" t="str">
        <f>VLOOKUP($B73,'1.2 FY2017'!$B$5:$E$86,2,FALSE)</f>
        <v>Corporate recharges</v>
      </c>
      <c r="D73" s="2" t="str">
        <f>VLOOKUP($B73,'1.2 FY2017'!$B$5:$E$86,3,FALSE)</f>
        <v>1086</v>
      </c>
      <c r="E73" s="2" t="str">
        <f>VLOOKUP($B73,'1.2 FY2017'!$B$5:$E$86,4,FALSE)</f>
        <v>G&amp;Resources Ltd</v>
      </c>
      <c r="F73" s="2">
        <f>-SUMIF('1.1 FY2016'!$B:$B,'2.1 Database'!B73,'1.1 FY2016'!$F:$F)</f>
        <v>0</v>
      </c>
      <c r="G73" s="2">
        <f>-SUMIF('1.2 FY2017'!$B:$B,'2.1 Database'!B73,'1.2 FY2017'!$F:$F)</f>
        <v>0</v>
      </c>
      <c r="H73" s="2">
        <f>-SUMIF('1.3 FY2018'!$B:$B,'2.1 Database'!B73,'1.3 FY2018'!$F:$F)</f>
        <v>0</v>
      </c>
      <c r="I73" s="2" t="s">
        <v>229</v>
      </c>
      <c r="K73" s="2">
        <f>COUNTIF('2.2 P&amp;L statement'!$B$4:$B$24,'2.1 Database'!I73)</f>
        <v>1</v>
      </c>
    </row>
    <row r="74" spans="2:11" x14ac:dyDescent="0.15">
      <c r="B74" s="2" t="s">
        <v>186</v>
      </c>
      <c r="C74" s="2" t="str">
        <f>VLOOKUP($B74,'1.2 FY2017'!$B$5:$E$86,2,FALSE)</f>
        <v>Corporate recharges</v>
      </c>
      <c r="D74" s="2" t="str">
        <f>VLOOKUP($B74,'1.2 FY2017'!$B$5:$E$86,3,FALSE)</f>
        <v>47037</v>
      </c>
      <c r="E74" s="2" t="str">
        <f>VLOOKUP($B74,'1.2 FY2017'!$B$5:$E$86,4,FALSE)</f>
        <v>G&amp;CR Global Ltd</v>
      </c>
      <c r="F74" s="2">
        <f>-SUMIF('1.1 FY2016'!$B:$B,'2.1 Database'!B74,'1.1 FY2016'!$F:$F)</f>
        <v>0</v>
      </c>
      <c r="G74" s="2">
        <f>-SUMIF('1.2 FY2017'!$B:$B,'2.1 Database'!B74,'1.2 FY2017'!$F:$F)</f>
        <v>482611.04499999998</v>
      </c>
      <c r="H74" s="2">
        <f>-SUMIF('1.3 FY2018'!$B:$B,'2.1 Database'!B74,'1.3 FY2018'!$F:$F)</f>
        <v>1948832.1429999999</v>
      </c>
      <c r="I74" s="2" t="s">
        <v>229</v>
      </c>
      <c r="K74" s="2">
        <f>COUNTIF('2.2 P&amp;L statement'!$B$4:$B$24,'2.1 Database'!I74)</f>
        <v>1</v>
      </c>
    </row>
    <row r="75" spans="2:11" x14ac:dyDescent="0.15">
      <c r="B75" s="2" t="s">
        <v>187</v>
      </c>
      <c r="C75" s="2" t="str">
        <f>VLOOKUP($B75,'1.2 FY2017'!$B$5:$E$86,2,FALSE)</f>
        <v>Other income</v>
      </c>
      <c r="D75" s="2">
        <f>VLOOKUP($B75,'1.2 FY2017'!$B$5:$E$86,3,FALSE)</f>
        <v>88</v>
      </c>
      <c r="E75" s="2" t="str">
        <f>VLOOKUP($B75,'1.2 FY2017'!$B$5:$E$86,4,FALSE)</f>
        <v>Generco Ltd</v>
      </c>
      <c r="F75" s="2">
        <f>-SUMIF('1.1 FY2016'!$B:$B,'2.1 Database'!B75,'1.1 FY2016'!$F:$F)</f>
        <v>0</v>
      </c>
      <c r="G75" s="2">
        <f>-SUMIF('1.2 FY2017'!$B:$B,'2.1 Database'!B75,'1.2 FY2017'!$F:$F)</f>
        <v>2436.35</v>
      </c>
      <c r="H75" s="2">
        <f>-SUMIF('1.3 FY2018'!$B:$B,'2.1 Database'!B75,'1.3 FY2018'!$F:$F)</f>
        <v>0</v>
      </c>
      <c r="I75" s="2" t="s">
        <v>74</v>
      </c>
      <c r="K75" s="2">
        <f>COUNTIF('2.2 P&amp;L statement'!$B$4:$B$24,'2.1 Database'!I75)</f>
        <v>1</v>
      </c>
    </row>
    <row r="76" spans="2:11" x14ac:dyDescent="0.15">
      <c r="B76" s="2" t="s">
        <v>188</v>
      </c>
      <c r="C76" s="2" t="str">
        <f>VLOOKUP($B76,'1.2 FY2017'!$B$5:$E$86,2,FALSE)</f>
        <v>Concession fees other</v>
      </c>
      <c r="D76" s="2">
        <f>VLOOKUP($B76,'1.2 FY2017'!$B$5:$E$86,3,FALSE)</f>
        <v>111101</v>
      </c>
      <c r="E76" s="2" t="str">
        <f>VLOOKUP($B76,'1.2 FY2017'!$B$5:$E$86,4,FALSE)</f>
        <v>Not assigned</v>
      </c>
      <c r="F76" s="2">
        <f>-SUMIF('1.1 FY2016'!$B:$B,'2.1 Database'!B76,'1.1 FY2016'!$F:$F)</f>
        <v>0</v>
      </c>
      <c r="G76" s="2">
        <f>-SUMIF('1.2 FY2017'!$B:$B,'2.1 Database'!B76,'1.2 FY2017'!$F:$F)</f>
        <v>-81.339999999999989</v>
      </c>
      <c r="H76" s="2">
        <f>-SUMIF('1.3 FY2018'!$B:$B,'2.1 Database'!B76,'1.3 FY2018'!$F:$F)</f>
        <v>0</v>
      </c>
      <c r="I76" s="2" t="s">
        <v>227</v>
      </c>
      <c r="K76" s="2">
        <f>COUNTIF('2.2 P&amp;L statement'!$B$4:$B$24,'2.1 Database'!I76)</f>
        <v>1</v>
      </c>
    </row>
    <row r="77" spans="2:11" x14ac:dyDescent="0.15">
      <c r="B77" s="2" t="s">
        <v>189</v>
      </c>
      <c r="C77" s="2" t="str">
        <f>VLOOKUP($B77,'1.2 FY2017'!$B$5:$E$86,2,FALSE)</f>
        <v>Service expenses</v>
      </c>
      <c r="D77" s="2">
        <f>VLOOKUP($B77,'1.2 FY2017'!$B$5:$E$86,3,FALSE)</f>
        <v>105</v>
      </c>
      <c r="E77" s="2" t="str">
        <f>VLOOKUP($B77,'1.2 FY2017'!$B$5:$E$86,4,FALSE)</f>
        <v>Generco Healthcare Ltd</v>
      </c>
      <c r="F77" s="2">
        <f>-SUMIF('1.1 FY2016'!$B:$B,'2.1 Database'!B77,'1.1 FY2016'!$F:$F)</f>
        <v>0</v>
      </c>
      <c r="G77" s="2">
        <f>-SUMIF('1.2 FY2017'!$B:$B,'2.1 Database'!B77,'1.2 FY2017'!$F:$F)</f>
        <v>-276920</v>
      </c>
      <c r="H77" s="2">
        <f>-SUMIF('1.3 FY2018'!$B:$B,'2.1 Database'!B77,'1.3 FY2018'!$F:$F)</f>
        <v>-473575.46100000001</v>
      </c>
      <c r="I77" s="2" t="s">
        <v>231</v>
      </c>
      <c r="K77" s="2">
        <f>COUNTIF('2.2 P&amp;L statement'!$B$4:$B$24,'2.1 Database'!I77)</f>
        <v>1</v>
      </c>
    </row>
    <row r="78" spans="2:11" x14ac:dyDescent="0.15">
      <c r="B78" s="2" t="s">
        <v>190</v>
      </c>
      <c r="C78" s="2" t="str">
        <f>VLOOKUP($B78,'1.2 FY2017'!$B$5:$E$86,2,FALSE)</f>
        <v>Insurance expenses</v>
      </c>
      <c r="D78" s="2">
        <f>VLOOKUP($B78,'1.2 FY2017'!$B$5:$E$86,3,FALSE)</f>
        <v>1900</v>
      </c>
      <c r="E78" s="2" t="str">
        <f>VLOOKUP($B78,'1.2 FY2017'!$B$5:$E$86,4,FALSE)</f>
        <v>Generco Metals Gm</v>
      </c>
      <c r="F78" s="2">
        <f>-SUMIF('1.1 FY2016'!$B:$B,'2.1 Database'!B78,'1.1 FY2016'!$F:$F)</f>
        <v>0</v>
      </c>
      <c r="G78" s="2">
        <f>-SUMIF('1.2 FY2017'!$B:$B,'2.1 Database'!B78,'1.2 FY2017'!$F:$F)</f>
        <v>0</v>
      </c>
      <c r="H78" s="2">
        <f>-SUMIF('1.3 FY2018'!$B:$B,'2.1 Database'!B78,'1.3 FY2018'!$F:$F)</f>
        <v>0</v>
      </c>
      <c r="K78" s="2">
        <f>COUNTIF('2.2 P&amp;L statement'!$B$4:$B$24,'2.1 Database'!I78)</f>
        <v>0</v>
      </c>
    </row>
    <row r="79" spans="2:11" x14ac:dyDescent="0.15">
      <c r="B79" s="2" t="s">
        <v>191</v>
      </c>
      <c r="C79" s="2" t="str">
        <f>VLOOKUP($B79,'1.2 FY2017'!$B$5:$E$86,2,FALSE)</f>
        <v>Travel expenses</v>
      </c>
      <c r="D79" s="2" t="str">
        <f>VLOOKUP($B79,'1.2 FY2017'!$B$5:$E$86,3,FALSE)</f>
        <v>1118</v>
      </c>
      <c r="E79" s="2" t="str">
        <f>VLOOKUP($B79,'1.2 FY2017'!$B$5:$E$86,4,FALSE)</f>
        <v>Gener Green LLC</v>
      </c>
      <c r="F79" s="2">
        <f>-SUMIF('1.1 FY2016'!$B:$B,'2.1 Database'!B79,'1.1 FY2016'!$F:$F)</f>
        <v>0</v>
      </c>
      <c r="G79" s="2">
        <f>-SUMIF('1.2 FY2017'!$B:$B,'2.1 Database'!B79,'1.2 FY2017'!$F:$F)</f>
        <v>-23928.799999999999</v>
      </c>
      <c r="H79" s="2">
        <f>-SUMIF('1.3 FY2018'!$B:$B,'2.1 Database'!B79,'1.3 FY2018'!$F:$F)</f>
        <v>0</v>
      </c>
      <c r="I79" s="2" t="s">
        <v>227</v>
      </c>
      <c r="K79" s="2">
        <f>COUNTIF('2.2 P&amp;L statement'!$B$4:$B$24,'2.1 Database'!I79)</f>
        <v>1</v>
      </c>
    </row>
    <row r="80" spans="2:11" x14ac:dyDescent="0.15">
      <c r="B80" s="2" t="s">
        <v>192</v>
      </c>
      <c r="C80" s="2" t="str">
        <f>VLOOKUP($B80,'1.2 FY2017'!$B$5:$E$86,2,FALSE)</f>
        <v>Losses fr disposal of PPE</v>
      </c>
      <c r="D80" s="2">
        <f>VLOOKUP($B80,'1.2 FY2017'!$B$5:$E$86,3,FALSE)</f>
        <v>111111</v>
      </c>
      <c r="E80" s="2" t="str">
        <f>VLOOKUP($B80,'1.2 FY2017'!$B$5:$E$86,4,FALSE)</f>
        <v>External</v>
      </c>
      <c r="F80" s="2">
        <f>-SUMIF('1.1 FY2016'!$B:$B,'2.1 Database'!B80,'1.1 FY2016'!$F:$F)</f>
        <v>0</v>
      </c>
      <c r="G80" s="2">
        <f>-SUMIF('1.2 FY2017'!$B:$B,'2.1 Database'!B80,'1.2 FY2017'!$F:$F)</f>
        <v>-308232</v>
      </c>
      <c r="H80" s="2">
        <f>-SUMIF('1.3 FY2018'!$B:$B,'2.1 Database'!B80,'1.3 FY2018'!$F:$F)</f>
        <v>0</v>
      </c>
      <c r="I80" s="2" t="s">
        <v>234</v>
      </c>
      <c r="K80" s="2">
        <f>COUNTIF('2.2 P&amp;L statement'!$B$4:$B$24,'2.1 Database'!I80)</f>
        <v>1</v>
      </c>
    </row>
    <row r="81" spans="2:11" x14ac:dyDescent="0.15">
      <c r="B81" s="2" t="s">
        <v>193</v>
      </c>
      <c r="C81" s="2" t="str">
        <f>VLOOKUP($B81,'1.2 FY2017'!$B$5:$E$86,2,FALSE)</f>
        <v>Other operative currency differences</v>
      </c>
      <c r="D81" s="2">
        <f>VLOOKUP($B81,'1.2 FY2017'!$B$5:$E$86,3,FALSE)</f>
        <v>19</v>
      </c>
      <c r="E81" s="2" t="str">
        <f>VLOOKUP($B81,'1.2 FY2017'!$B$5:$E$86,4,FALSE)</f>
        <v>Generco Cosmetics Ltd</v>
      </c>
      <c r="F81" s="2">
        <f>-SUMIF('1.1 FY2016'!$B:$B,'2.1 Database'!B81,'1.1 FY2016'!$F:$F)</f>
        <v>0</v>
      </c>
      <c r="G81" s="2">
        <f>-SUMIF('1.2 FY2017'!$B:$B,'2.1 Database'!B81,'1.2 FY2017'!$F:$F)</f>
        <v>-13422.779999999999</v>
      </c>
      <c r="H81" s="2">
        <f>-SUMIF('1.3 FY2018'!$B:$B,'2.1 Database'!B81,'1.3 FY2018'!$F:$F)</f>
        <v>0</v>
      </c>
      <c r="I81" s="2" t="s">
        <v>227</v>
      </c>
      <c r="K81" s="2">
        <f>COUNTIF('2.2 P&amp;L statement'!$B$4:$B$24,'2.1 Database'!I81)</f>
        <v>1</v>
      </c>
    </row>
    <row r="82" spans="2:11" x14ac:dyDescent="0.15">
      <c r="B82" s="2" t="s">
        <v>194</v>
      </c>
      <c r="C82" s="2" t="str">
        <f>VLOOKUP($B82,'1.2 FY2017'!$B$5:$E$86,2,FALSE)</f>
        <v>Other operative currency differences</v>
      </c>
      <c r="D82" s="2">
        <f>VLOOKUP($B82,'1.2 FY2017'!$B$5:$E$86,3,FALSE)</f>
        <v>111111</v>
      </c>
      <c r="E82" s="2" t="str">
        <f>VLOOKUP($B82,'1.2 FY2017'!$B$5:$E$86,4,FALSE)</f>
        <v>External</v>
      </c>
      <c r="F82" s="2">
        <f>-SUMIF('1.1 FY2016'!$B:$B,'2.1 Database'!B82,'1.1 FY2016'!$F:$F)</f>
        <v>0</v>
      </c>
      <c r="G82" s="2">
        <f>-SUMIF('1.2 FY2017'!$B:$B,'2.1 Database'!B82,'1.2 FY2017'!$F:$F)</f>
        <v>-4045.6150000000002</v>
      </c>
      <c r="H82" s="2">
        <f>-SUMIF('1.3 FY2018'!$B:$B,'2.1 Database'!B82,'1.3 FY2018'!$F:$F)</f>
        <v>0</v>
      </c>
      <c r="I82" s="2" t="s">
        <v>227</v>
      </c>
      <c r="K82" s="2">
        <f>COUNTIF('2.2 P&amp;L statement'!$B$4:$B$24,'2.1 Database'!I82)</f>
        <v>1</v>
      </c>
    </row>
    <row r="83" spans="2:11" x14ac:dyDescent="0.15">
      <c r="B83" s="2" t="s">
        <v>195</v>
      </c>
      <c r="C83" s="2" t="str">
        <f>VLOOKUP($B83,'1.2 FY2017'!$B$5:$E$86,2,FALSE)</f>
        <v>Property tax</v>
      </c>
      <c r="D83" s="2">
        <f>VLOOKUP($B83,'1.2 FY2017'!$B$5:$E$86,3,FALSE)</f>
        <v>111111</v>
      </c>
      <c r="E83" s="2" t="str">
        <f>VLOOKUP($B83,'1.2 FY2017'!$B$5:$E$86,4,FALSE)</f>
        <v>External</v>
      </c>
      <c r="F83" s="2">
        <f>-SUMIF('1.1 FY2016'!$B:$B,'2.1 Database'!B83,'1.1 FY2016'!$F:$F)</f>
        <v>0</v>
      </c>
      <c r="G83" s="2">
        <f>-SUMIF('1.2 FY2017'!$B:$B,'2.1 Database'!B83,'1.2 FY2017'!$F:$F)</f>
        <v>-49621.144999999997</v>
      </c>
      <c r="H83" s="2">
        <f>-SUMIF('1.3 FY2018'!$B:$B,'2.1 Database'!B83,'1.3 FY2018'!$F:$F)</f>
        <v>0</v>
      </c>
      <c r="I83" s="2" t="s">
        <v>227</v>
      </c>
      <c r="K83" s="2">
        <f>COUNTIF('2.2 P&amp;L statement'!$B$4:$B$24,'2.1 Database'!I83)</f>
        <v>1</v>
      </c>
    </row>
    <row r="84" spans="2:11" x14ac:dyDescent="0.15">
      <c r="B84" s="2" t="s">
        <v>196</v>
      </c>
      <c r="C84" s="2" t="str">
        <f>VLOOKUP($B84,'1.2 FY2017'!$B$5:$E$86,2,FALSE)</f>
        <v>Misc extraordinary expenses</v>
      </c>
      <c r="D84" s="2">
        <f>VLOOKUP($B84,'1.2 FY2017'!$B$5:$E$86,3,FALSE)</f>
        <v>19</v>
      </c>
      <c r="E84" s="2" t="str">
        <f>VLOOKUP($B84,'1.2 FY2017'!$B$5:$E$86,4,FALSE)</f>
        <v>Generco Cosmetics Ltd</v>
      </c>
      <c r="F84" s="2">
        <f>-SUMIF('1.1 FY2016'!$B:$B,'2.1 Database'!B84,'1.1 FY2016'!$F:$F)</f>
        <v>0</v>
      </c>
      <c r="G84" s="2">
        <f>-SUMIF('1.2 FY2017'!$B:$B,'2.1 Database'!B84,'1.2 FY2017'!$F:$F)</f>
        <v>-85462.684999999998</v>
      </c>
      <c r="H84" s="2">
        <f>-SUMIF('1.3 FY2018'!$B:$B,'2.1 Database'!B84,'1.3 FY2018'!$F:$F)</f>
        <v>0</v>
      </c>
      <c r="I84" s="2" t="s">
        <v>234</v>
      </c>
      <c r="K84" s="2">
        <f>COUNTIF('2.2 P&amp;L statement'!$B$4:$B$24,'2.1 Database'!I84)</f>
        <v>1</v>
      </c>
    </row>
    <row r="85" spans="2:11" x14ac:dyDescent="0.15">
      <c r="B85" s="2" t="s">
        <v>197</v>
      </c>
      <c r="C85" s="2" t="str">
        <f>VLOOKUP($B85,'1.2 FY2017'!$B$5:$E$86,2,FALSE)</f>
        <v>Misc extraordinary expenses</v>
      </c>
      <c r="D85" s="2" t="str">
        <f>VLOOKUP($B85,'1.2 FY2017'!$B$5:$E$86,3,FALSE)</f>
        <v>43</v>
      </c>
      <c r="E85" s="2" t="str">
        <f>VLOOKUP($B85,'1.2 FY2017'!$B$5:$E$86,4,FALSE)</f>
        <v>Greeny France SL</v>
      </c>
      <c r="F85" s="2">
        <f>-SUMIF('1.1 FY2016'!$B:$B,'2.1 Database'!B85,'1.1 FY2016'!$F:$F)</f>
        <v>0</v>
      </c>
      <c r="G85" s="2">
        <f>-SUMIF('1.2 FY2017'!$B:$B,'2.1 Database'!B85,'1.2 FY2017'!$F:$F)</f>
        <v>-11422.144999999999</v>
      </c>
      <c r="H85" s="2">
        <f>-SUMIF('1.3 FY2018'!$B:$B,'2.1 Database'!B85,'1.3 FY2018'!$F:$F)</f>
        <v>0</v>
      </c>
      <c r="I85" s="2" t="s">
        <v>234</v>
      </c>
      <c r="K85" s="2">
        <f>COUNTIF('2.2 P&amp;L statement'!$B$4:$B$24,'2.1 Database'!I85)</f>
        <v>1</v>
      </c>
    </row>
    <row r="86" spans="2:11" x14ac:dyDescent="0.15">
      <c r="B86" s="2" t="s">
        <v>198</v>
      </c>
      <c r="C86" s="2" t="str">
        <f>VLOOKUP($B86,'1.2 FY2017'!$B$5:$E$86,2,FALSE)</f>
        <v>Misc extraordinary expenses</v>
      </c>
      <c r="D86" s="2" t="str">
        <f>VLOOKUP($B86,'1.2 FY2017'!$B$5:$E$86,3,FALSE)</f>
        <v>1924</v>
      </c>
      <c r="E86" s="2" t="str">
        <f>VLOOKUP($B86,'1.2 FY2017'!$B$5:$E$86,4,FALSE)</f>
        <v>Generco Infrastructure Ltd</v>
      </c>
      <c r="F86" s="2">
        <f>-SUMIF('1.1 FY2016'!$B:$B,'2.1 Database'!B86,'1.1 FY2016'!$F:$F)</f>
        <v>0</v>
      </c>
      <c r="G86" s="2">
        <f>-SUMIF('1.2 FY2017'!$B:$B,'2.1 Database'!B86,'1.2 FY2017'!$F:$F)</f>
        <v>-84438.864999999991</v>
      </c>
      <c r="H86" s="2">
        <f>-SUMIF('1.3 FY2018'!$B:$B,'2.1 Database'!B86,'1.3 FY2018'!$F:$F)</f>
        <v>0</v>
      </c>
      <c r="I86" s="2" t="s">
        <v>234</v>
      </c>
      <c r="K86" s="2">
        <f>COUNTIF('2.2 P&amp;L statement'!$B$4:$B$24,'2.1 Database'!I86)</f>
        <v>1</v>
      </c>
    </row>
    <row r="87" spans="2:11" x14ac:dyDescent="0.15">
      <c r="B87" s="2" t="s">
        <v>199</v>
      </c>
      <c r="C87" s="2" t="str">
        <f>VLOOKUP($B87,'1.2 FY2017'!$B$5:$E$86,2,FALSE)</f>
        <v>Difference from eliminations</v>
      </c>
      <c r="D87" s="2" t="str">
        <f>VLOOKUP($B87,'1.2 FY2017'!$B$5:$E$86,3,FALSE)</f>
        <v>1086</v>
      </c>
      <c r="E87" s="2" t="str">
        <f>VLOOKUP($B87,'1.2 FY2017'!$B$5:$E$86,4,FALSE)</f>
        <v>G&amp;Resources Ltd</v>
      </c>
      <c r="F87" s="2">
        <f>-SUMIF('1.1 FY2016'!$B:$B,'2.1 Database'!B87,'1.1 FY2016'!$F:$F)</f>
        <v>0</v>
      </c>
      <c r="G87" s="2">
        <f>-SUMIF('1.2 FY2017'!$B:$B,'2.1 Database'!B87,'1.2 FY2017'!$F:$F)</f>
        <v>0</v>
      </c>
      <c r="H87" s="2">
        <f>-SUMIF('1.3 FY2018'!$B:$B,'2.1 Database'!B87,'1.3 FY2018'!$F:$F)</f>
        <v>0</v>
      </c>
      <c r="K87" s="2">
        <f>COUNTIF('2.2 P&amp;L statement'!$B$4:$B$24,'2.1 Database'!I87)</f>
        <v>0</v>
      </c>
    </row>
    <row r="88" spans="2:11" x14ac:dyDescent="0.15">
      <c r="B88" s="2" t="s">
        <v>200</v>
      </c>
      <c r="C88" s="2" t="str">
        <f>VLOOKUP($B88,'1.2 FY2017'!$B$5:$E$86,2,FALSE)</f>
        <v>Interest income</v>
      </c>
      <c r="D88" s="2" t="str">
        <f>VLOOKUP($B88,'1.2 FY2017'!$B$5:$E$86,3,FALSE)</f>
        <v>1086</v>
      </c>
      <c r="E88" s="2" t="str">
        <f>VLOOKUP($B88,'1.2 FY2017'!$B$5:$E$86,4,FALSE)</f>
        <v>G&amp;Resources Ltd</v>
      </c>
      <c r="F88" s="2">
        <f>-SUMIF('1.1 FY2016'!$B:$B,'2.1 Database'!B88,'1.1 FY2016'!$F:$F)</f>
        <v>0</v>
      </c>
      <c r="G88" s="2">
        <f>-SUMIF('1.2 FY2017'!$B:$B,'2.1 Database'!B88,'1.2 FY2017'!$F:$F)</f>
        <v>0</v>
      </c>
      <c r="H88" s="2">
        <f>-SUMIF('1.3 FY2018'!$B:$B,'2.1 Database'!B88,'1.3 FY2018'!$F:$F)</f>
        <v>0</v>
      </c>
      <c r="I88" s="2" t="s">
        <v>233</v>
      </c>
      <c r="K88" s="2">
        <f>COUNTIF('2.2 P&amp;L statement'!$B$4:$B$24,'2.1 Database'!I88)</f>
        <v>1</v>
      </c>
    </row>
    <row r="89" spans="2:11" x14ac:dyDescent="0.15">
      <c r="B89" s="2" t="s">
        <v>201</v>
      </c>
      <c r="C89" s="2" t="str">
        <f>VLOOKUP($B89,'1.2 FY2017'!$B$5:$E$86,2,FALSE)</f>
        <v>Interest income</v>
      </c>
      <c r="D89" s="2">
        <f>VLOOKUP($B89,'1.2 FY2017'!$B$5:$E$86,3,FALSE)</f>
        <v>1006</v>
      </c>
      <c r="E89" s="2" t="str">
        <f>VLOOKUP($B89,'1.2 FY2017'!$B$5:$E$86,4,FALSE)</f>
        <v>Generco Mining GmbH</v>
      </c>
      <c r="F89" s="2">
        <f>-SUMIF('1.1 FY2016'!$B:$B,'2.1 Database'!B89,'1.1 FY2016'!$F:$F)</f>
        <v>0</v>
      </c>
      <c r="G89" s="2">
        <f>-SUMIF('1.2 FY2017'!$B:$B,'2.1 Database'!B89,'1.2 FY2017'!$F:$F)</f>
        <v>6778.415</v>
      </c>
      <c r="H89" s="2">
        <f>-SUMIF('1.3 FY2018'!$B:$B,'2.1 Database'!B89,'1.3 FY2018'!$F:$F)</f>
        <v>0</v>
      </c>
      <c r="I89" s="2" t="s">
        <v>233</v>
      </c>
      <c r="K89" s="2">
        <f>COUNTIF('2.2 P&amp;L statement'!$B$4:$B$24,'2.1 Database'!I89)</f>
        <v>1</v>
      </c>
    </row>
    <row r="90" spans="2:11" x14ac:dyDescent="0.15">
      <c r="B90" s="2" t="s">
        <v>202</v>
      </c>
      <c r="C90" s="2" t="str">
        <f>VLOOKUP($B90,'1.2 FY2017'!$B$5:$E$86,2,FALSE)</f>
        <v>Interest expenses</v>
      </c>
      <c r="D90" s="2">
        <f>VLOOKUP($B90,'1.2 FY2017'!$B$5:$E$86,3,FALSE)</f>
        <v>1007</v>
      </c>
      <c r="E90" s="2" t="str">
        <f>VLOOKUP($B90,'1.2 FY2017'!$B$5:$E$86,4,FALSE)</f>
        <v>Generco Semiconductors Ltd</v>
      </c>
      <c r="F90" s="2">
        <f>-SUMIF('1.1 FY2016'!$B:$B,'2.1 Database'!B90,'1.1 FY2016'!$F:$F)</f>
        <v>0</v>
      </c>
      <c r="G90" s="2">
        <f>-SUMIF('1.2 FY2017'!$B:$B,'2.1 Database'!B90,'1.2 FY2017'!$F:$F)</f>
        <v>0</v>
      </c>
      <c r="H90" s="2">
        <f>-SUMIF('1.3 FY2018'!$B:$B,'2.1 Database'!B90,'1.3 FY2018'!$F:$F)</f>
        <v>0</v>
      </c>
      <c r="I90" s="2" t="s">
        <v>233</v>
      </c>
      <c r="K90" s="2">
        <f>COUNTIF('2.2 P&amp;L statement'!$B$4:$B$24,'2.1 Database'!I90)</f>
        <v>1</v>
      </c>
    </row>
    <row r="91" spans="2:11" x14ac:dyDescent="0.15">
      <c r="B91" s="2" t="s">
        <v>203</v>
      </c>
      <c r="C91" s="2" t="str">
        <f>VLOOKUP($B91,'1.2 FY2017'!$B$5:$E$86,2,FALSE)</f>
        <v>Interest expenses</v>
      </c>
      <c r="D91" s="2">
        <f>VLOOKUP($B91,'1.2 FY2017'!$B$5:$E$86,3,FALSE)</f>
        <v>111111</v>
      </c>
      <c r="E91" s="2" t="str">
        <f>VLOOKUP($B91,'1.2 FY2017'!$B$5:$E$86,4,FALSE)</f>
        <v>External</v>
      </c>
      <c r="F91" s="2">
        <f>-SUMIF('1.1 FY2016'!$B:$B,'2.1 Database'!B91,'1.1 FY2016'!$F:$F)</f>
        <v>0</v>
      </c>
      <c r="G91" s="2">
        <f>-SUMIF('1.2 FY2017'!$B:$B,'2.1 Database'!B91,'1.2 FY2017'!$F:$F)</f>
        <v>-1250.7950000000001</v>
      </c>
      <c r="H91" s="2">
        <f>-SUMIF('1.3 FY2018'!$B:$B,'2.1 Database'!B91,'1.3 FY2018'!$F:$F)</f>
        <v>-51.454999999999998</v>
      </c>
      <c r="I91" s="2" t="s">
        <v>233</v>
      </c>
      <c r="K91" s="2">
        <f>COUNTIF('2.2 P&amp;L statement'!$B$4:$B$24,'2.1 Database'!I91)</f>
        <v>1</v>
      </c>
    </row>
    <row r="92" spans="2:11" x14ac:dyDescent="0.15">
      <c r="B92" s="2" t="s">
        <v>204</v>
      </c>
      <c r="C92" s="2" t="str">
        <f>VLOOKUP($B92,'1.2 FY2017'!$B$5:$E$86,2,FALSE)</f>
        <v>Impairment of participation</v>
      </c>
      <c r="D92" s="2">
        <f>VLOOKUP($B92,'1.2 FY2017'!$B$5:$E$86,3,FALSE)</f>
        <v>1240</v>
      </c>
      <c r="E92" s="2" t="str">
        <f>VLOOKUP($B92,'1.2 FY2017'!$B$5:$E$86,4,FALSE)</f>
        <v xml:space="preserve">Generco UK </v>
      </c>
      <c r="F92" s="2">
        <f>-SUMIF('1.1 FY2016'!$B:$B,'2.1 Database'!B92,'1.1 FY2016'!$F:$F)</f>
        <v>0</v>
      </c>
      <c r="G92" s="2">
        <f>-SUMIF('1.2 FY2017'!$B:$B,'2.1 Database'!B92,'1.2 FY2017'!$F:$F)</f>
        <v>-4130000</v>
      </c>
      <c r="H92" s="2">
        <f>-SUMIF('1.3 FY2018'!$B:$B,'2.1 Database'!B92,'1.3 FY2018'!$F:$F)</f>
        <v>0</v>
      </c>
      <c r="I92" s="2" t="s">
        <v>234</v>
      </c>
      <c r="K92" s="2">
        <f>COUNTIF('2.2 P&amp;L statement'!$B$4:$B$24,'2.1 Database'!I92)</f>
        <v>1</v>
      </c>
    </row>
    <row r="93" spans="2:11" x14ac:dyDescent="0.15">
      <c r="B93" s="2" t="s">
        <v>205</v>
      </c>
      <c r="C93" s="2" t="str">
        <f>VLOOKUP($B93,'1.2 FY2017'!$B$5:$E$86,2,FALSE)</f>
        <v>Quarterly changes in current taxes</v>
      </c>
      <c r="D93" s="2">
        <f>VLOOKUP($B93,'1.2 FY2017'!$B$5:$E$86,3,FALSE)</f>
        <v>111101</v>
      </c>
      <c r="E93" s="2" t="str">
        <f>VLOOKUP($B93,'1.2 FY2017'!$B$5:$E$86,4,FALSE)</f>
        <v>Not assigned</v>
      </c>
      <c r="F93" s="2">
        <f>-SUMIF('1.1 FY2016'!$B:$B,'2.1 Database'!B93,'1.1 FY2016'!$F:$F)</f>
        <v>0</v>
      </c>
      <c r="G93" s="2">
        <f>-SUMIF('1.2 FY2017'!$B:$B,'2.1 Database'!B93,'1.2 FY2017'!$F:$F)</f>
        <v>0</v>
      </c>
      <c r="H93" s="2">
        <f>-SUMIF('1.3 FY2018'!$B:$B,'2.1 Database'!B93,'1.3 FY2018'!$F:$F)</f>
        <v>0</v>
      </c>
      <c r="K93" s="2">
        <f>COUNTIF('2.2 P&amp;L statement'!$B$4:$B$24,'2.1 Database'!I93)</f>
        <v>0</v>
      </c>
    </row>
    <row r="94" spans="2:11" x14ac:dyDescent="0.15">
      <c r="B94" s="2" t="s">
        <v>206</v>
      </c>
      <c r="C94" s="2" t="str">
        <f>VLOOKUP($B94,'1.2 FY2017'!$B$5:$E$86,2,FALSE)</f>
        <v>Net income/(loss)</v>
      </c>
      <c r="D94" s="2">
        <f>VLOOKUP($B94,'1.2 FY2017'!$B$5:$E$86,3,FALSE)</f>
        <v>111101</v>
      </c>
      <c r="E94" s="2" t="str">
        <f>VLOOKUP($B94,'1.2 FY2017'!$B$5:$E$86,4,FALSE)</f>
        <v>Not assigned</v>
      </c>
      <c r="F94" s="2">
        <f>SUMIF('1.1 FY2016'!$B:$B,'2.1 Database'!B94,'1.1 FY2016'!$F:$F)</f>
        <v>0</v>
      </c>
      <c r="G94" s="2">
        <f>SUMIF('1.2 FY2017'!$B:$B,'2.1 Database'!B94,'1.2 FY2017'!$F:$F)</f>
        <v>6073808.1600000001</v>
      </c>
      <c r="H94" s="2">
        <f>SUMIF('1.3 FY2018'!$B:$B,'2.1 Database'!B94,'1.3 FY2018'!$F:$F)</f>
        <v>-779290.47600000002</v>
      </c>
      <c r="I94" s="2" t="s">
        <v>236</v>
      </c>
      <c r="K94" s="2">
        <f>COUNTIF('2.2 P&amp;L statement'!$B$4:$B$24,'2.1 Database'!I94)</f>
        <v>1</v>
      </c>
    </row>
    <row r="95" spans="2:11" x14ac:dyDescent="0.15">
      <c r="B95" s="2" t="s">
        <v>207</v>
      </c>
      <c r="C95" s="2" t="str">
        <f>VLOOKUP($B95,'1.3 FY2018'!$B$5:$E$78,2,FALSE)</f>
        <v>Operating expenses for utilities</v>
      </c>
      <c r="D95" s="2">
        <f>VLOOKUP($B95,'1.3 FY2018'!$B$5:$E$78,3,FALSE)</f>
        <v>111111</v>
      </c>
      <c r="E95" s="2" t="str">
        <f>VLOOKUP($B95,'1.3 FY2018'!$B$5:$E$78,4,FALSE)</f>
        <v>External</v>
      </c>
      <c r="F95" s="2">
        <f>-SUMIF('1.1 FY2016'!$B:$B,'2.1 Database'!B95,'1.1 FY2016'!$F:$F)</f>
        <v>0</v>
      </c>
      <c r="G95" s="2">
        <f>-SUMIF('1.2 FY2017'!$B:$B,'2.1 Database'!B95,'1.2 FY2017'!$F:$F)</f>
        <v>0</v>
      </c>
      <c r="H95" s="2">
        <f>-SUMIF('1.3 FY2018'!$B:$B,'2.1 Database'!B95,'1.3 FY2018'!$F:$F)</f>
        <v>-13691.949999999999</v>
      </c>
      <c r="I95" s="2" t="s">
        <v>227</v>
      </c>
      <c r="K95" s="2">
        <f>COUNTIF('2.2 P&amp;L statement'!$B$4:$B$24,'2.1 Database'!I95)</f>
        <v>1</v>
      </c>
    </row>
    <row r="96" spans="2:11" x14ac:dyDescent="0.15">
      <c r="B96" s="2" t="s">
        <v>208</v>
      </c>
      <c r="C96" s="2" t="str">
        <f>VLOOKUP($B96,'1.3 FY2018'!$B$5:$E$78,2,FALSE)</f>
        <v>R&amp;D expenses</v>
      </c>
      <c r="D96" s="2" t="str">
        <f>VLOOKUP($B96,'1.3 FY2018'!$B$5:$E$78,3,FALSE)</f>
        <v>2185</v>
      </c>
      <c r="E96" s="2" t="str">
        <f>VLOOKUP($B96,'1.3 FY2018'!$B$5:$E$78,4,FALSE)</f>
        <v>Generco Green Projects GmbH</v>
      </c>
      <c r="F96" s="2">
        <f>-SUMIF('1.1 FY2016'!$B:$B,'2.1 Database'!B96,'1.1 FY2016'!$F:$F)</f>
        <v>0</v>
      </c>
      <c r="G96" s="2">
        <f>-SUMIF('1.2 FY2017'!$B:$B,'2.1 Database'!B96,'1.2 FY2017'!$F:$F)</f>
        <v>0</v>
      </c>
      <c r="H96" s="2">
        <f>-SUMIF('1.3 FY2018'!$B:$B,'2.1 Database'!B96,'1.3 FY2018'!$F:$F)</f>
        <v>-192017.14499999996</v>
      </c>
      <c r="I96" s="2" t="s">
        <v>227</v>
      </c>
      <c r="K96" s="2">
        <f>COUNTIF('2.2 P&amp;L statement'!$B$4:$B$24,'2.1 Database'!I96)</f>
        <v>1</v>
      </c>
    </row>
    <row r="97" spans="2:11" x14ac:dyDescent="0.15">
      <c r="B97" s="2" t="s">
        <v>209</v>
      </c>
      <c r="C97" s="2" t="str">
        <f>VLOOKUP($B97,'1.3 FY2018'!$B$5:$E$78,2,FALSE)</f>
        <v>R&amp;D expenses</v>
      </c>
      <c r="D97" s="2" t="str">
        <f>VLOOKUP($B97,'1.3 FY2018'!$B$5:$E$78,3,FALSE)</f>
        <v>2240</v>
      </c>
      <c r="E97" s="2" t="str">
        <f>VLOOKUP($B97,'1.3 FY2018'!$B$5:$E$78,4,FALSE)</f>
        <v>Greeny Germany GmbH</v>
      </c>
      <c r="F97" s="2">
        <f>-SUMIF('1.1 FY2016'!$B:$B,'2.1 Database'!B97,'1.1 FY2016'!$F:$F)</f>
        <v>0</v>
      </c>
      <c r="G97" s="2">
        <f>-SUMIF('1.2 FY2017'!$B:$B,'2.1 Database'!B97,'1.2 FY2017'!$F:$F)</f>
        <v>0</v>
      </c>
      <c r="H97" s="2">
        <f>-SUMIF('1.3 FY2018'!$B:$B,'2.1 Database'!B97,'1.3 FY2018'!$F:$F)</f>
        <v>-375290.46599999996</v>
      </c>
      <c r="I97" s="2" t="s">
        <v>227</v>
      </c>
      <c r="K97" s="2">
        <f>COUNTIF('2.2 P&amp;L statement'!$B$4:$B$24,'2.1 Database'!I97)</f>
        <v>1</v>
      </c>
    </row>
    <row r="98" spans="2:11" x14ac:dyDescent="0.15">
      <c r="B98" s="2" t="s">
        <v>210</v>
      </c>
      <c r="C98" s="2" t="str">
        <f>VLOOKUP($B98,'1.3 FY2018'!$B$5:$E$78,2,FALSE)</f>
        <v>R&amp;D expenses</v>
      </c>
      <c r="D98" s="2">
        <f>VLOOKUP($B98,'1.3 FY2018'!$B$5:$E$78,3,FALSE)</f>
        <v>17000</v>
      </c>
      <c r="E98" s="2" t="str">
        <f>VLOOKUP($B98,'1.3 FY2018'!$B$5:$E$78,4,FALSE)</f>
        <v>Generco Risk Management Ltd</v>
      </c>
      <c r="F98" s="2">
        <f>-SUMIF('1.1 FY2016'!$B:$B,'2.1 Database'!B98,'1.1 FY2016'!$F:$F)</f>
        <v>0</v>
      </c>
      <c r="G98" s="2">
        <f>-SUMIF('1.2 FY2017'!$B:$B,'2.1 Database'!B98,'1.2 FY2017'!$F:$F)</f>
        <v>0</v>
      </c>
      <c r="H98" s="2">
        <f>-SUMIF('1.3 FY2018'!$B:$B,'2.1 Database'!B98,'1.3 FY2018'!$F:$F)</f>
        <v>-4920</v>
      </c>
      <c r="I98" s="2" t="s">
        <v>227</v>
      </c>
      <c r="K98" s="2">
        <f>COUNTIF('2.2 P&amp;L statement'!$B$4:$B$24,'2.1 Database'!I98)</f>
        <v>1</v>
      </c>
    </row>
    <row r="99" spans="2:11" x14ac:dyDescent="0.15">
      <c r="B99" s="2" t="s">
        <v>211</v>
      </c>
      <c r="C99" s="2" t="str">
        <f>VLOOKUP($B99,'1.3 FY2018'!$B$5:$E$78,2,FALSE)</f>
        <v>Other operative currency differences</v>
      </c>
      <c r="D99" s="2" t="str">
        <f>VLOOKUP($B99,'1.3 FY2018'!$B$5:$E$78,3,FALSE)</f>
        <v>1118</v>
      </c>
      <c r="E99" s="2" t="str">
        <f>VLOOKUP($B99,'1.3 FY2018'!$B$5:$E$78,4,FALSE)</f>
        <v>Gener Green LLC</v>
      </c>
      <c r="F99" s="2">
        <f>-SUMIF('1.1 FY2016'!$B:$B,'2.1 Database'!B99,'1.1 FY2016'!$F:$F)</f>
        <v>0</v>
      </c>
      <c r="G99" s="2">
        <f>-SUMIF('1.2 FY2017'!$B:$B,'2.1 Database'!B99,'1.2 FY2017'!$F:$F)</f>
        <v>0</v>
      </c>
      <c r="H99" s="2">
        <f>-SUMIF('1.3 FY2018'!$B:$B,'2.1 Database'!B99,'1.3 FY2018'!$F:$F)</f>
        <v>0</v>
      </c>
      <c r="I99" s="2" t="s">
        <v>227</v>
      </c>
      <c r="K99" s="2">
        <f>COUNTIF('2.2 P&amp;L statement'!$B$4:$B$24,'2.1 Database'!I99)</f>
        <v>1</v>
      </c>
    </row>
    <row r="100" spans="2:11" x14ac:dyDescent="0.15">
      <c r="B100" s="2" t="s">
        <v>212</v>
      </c>
      <c r="C100" s="2" t="str">
        <f>VLOOKUP($B100,'1.3 FY2018'!$B$5:$E$78,2,FALSE)</f>
        <v>Other operative currency differences</v>
      </c>
      <c r="D100" s="2">
        <f>VLOOKUP($B100,'1.3 FY2018'!$B$5:$E$78,3,FALSE)</f>
        <v>111111</v>
      </c>
      <c r="E100" s="2" t="str">
        <f>VLOOKUP($B100,'1.3 FY2018'!$B$5:$E$78,4,FALSE)</f>
        <v>External</v>
      </c>
      <c r="F100" s="2">
        <f>-SUMIF('1.1 FY2016'!$B:$B,'2.1 Database'!B100,'1.1 FY2016'!$F:$F)</f>
        <v>0</v>
      </c>
      <c r="G100" s="2">
        <f>-SUMIF('1.2 FY2017'!$B:$B,'2.1 Database'!B100,'1.2 FY2017'!$F:$F)</f>
        <v>0</v>
      </c>
      <c r="H100" s="2">
        <f>-SUMIF('1.3 FY2018'!$B:$B,'2.1 Database'!B100,'1.3 FY2018'!$F:$F)</f>
        <v>1252.8369999999998</v>
      </c>
      <c r="I100" s="2" t="s">
        <v>227</v>
      </c>
      <c r="K100" s="2">
        <f>COUNTIF('2.2 P&amp;L statement'!$B$4:$B$24,'2.1 Database'!I100)</f>
        <v>1</v>
      </c>
    </row>
    <row r="101" spans="2:11" x14ac:dyDescent="0.15">
      <c r="B101" s="2" t="s">
        <v>213</v>
      </c>
      <c r="C101" s="2" t="str">
        <f>VLOOKUP($B101,'1.3 FY2018'!$B$5:$E$78,2,FALSE)</f>
        <v>Corporate recharges</v>
      </c>
      <c r="D101" s="2">
        <f>VLOOKUP($B101,'1.3 FY2018'!$B$5:$E$78,3,FALSE)</f>
        <v>1006</v>
      </c>
      <c r="E101" s="2" t="str">
        <f>VLOOKUP($B101,'1.3 FY2018'!$B$5:$E$78,4,FALSE)</f>
        <v>Generco Mining GmbH</v>
      </c>
      <c r="F101" s="2">
        <f>-SUMIF('1.1 FY2016'!$B:$B,'2.1 Database'!B101,'1.1 FY2016'!$F:$F)</f>
        <v>0</v>
      </c>
      <c r="G101" s="2">
        <f>-SUMIF('1.2 FY2017'!$B:$B,'2.1 Database'!B101,'1.2 FY2017'!$F:$F)</f>
        <v>0</v>
      </c>
      <c r="H101" s="2">
        <f>-SUMIF('1.3 FY2018'!$B:$B,'2.1 Database'!B101,'1.3 FY2018'!$F:$F)</f>
        <v>0</v>
      </c>
      <c r="I101" s="2" t="s">
        <v>229</v>
      </c>
      <c r="K101" s="2">
        <f>COUNTIF('2.2 P&amp;L statement'!$B$4:$B$24,'2.1 Database'!I101)</f>
        <v>1</v>
      </c>
    </row>
    <row r="102" spans="2:11" x14ac:dyDescent="0.15">
      <c r="B102" s="2" t="s">
        <v>214</v>
      </c>
      <c r="C102" s="2" t="str">
        <f>VLOOKUP($B102,'1.3 FY2018'!$B$5:$E$78,2,FALSE)</f>
        <v>Reimbursements+compensation for damages</v>
      </c>
      <c r="D102" s="2">
        <f>VLOOKUP($B102,'1.3 FY2018'!$B$5:$E$78,3,FALSE)</f>
        <v>111111</v>
      </c>
      <c r="E102" s="2" t="str">
        <f>VLOOKUP($B102,'1.3 FY2018'!$B$5:$E$78,4,FALSE)</f>
        <v>External</v>
      </c>
      <c r="F102" s="2">
        <f>-SUMIF('1.1 FY2016'!$B:$B,'2.1 Database'!B102,'1.1 FY2016'!$F:$F)</f>
        <v>0</v>
      </c>
      <c r="G102" s="2">
        <f>-SUMIF('1.2 FY2017'!$B:$B,'2.1 Database'!B102,'1.2 FY2017'!$F:$F)</f>
        <v>0</v>
      </c>
      <c r="H102" s="2">
        <f>-SUMIF('1.3 FY2018'!$B:$B,'2.1 Database'!B102,'1.3 FY2018'!$F:$F)</f>
        <v>61499.999999999993</v>
      </c>
      <c r="I102" s="2" t="s">
        <v>227</v>
      </c>
      <c r="K102" s="2">
        <f>COUNTIF('2.2 P&amp;L statement'!$B$4:$B$24,'2.1 Database'!I102)</f>
        <v>1</v>
      </c>
    </row>
    <row r="103" spans="2:11" x14ac:dyDescent="0.15">
      <c r="B103" s="2" t="s">
        <v>215</v>
      </c>
      <c r="C103" s="2" t="str">
        <f>VLOOKUP($B103,'1.3 FY2018'!$B$5:$E$78,2,FALSE)</f>
        <v>Other income</v>
      </c>
      <c r="D103" s="2">
        <f>VLOOKUP($B103,'1.3 FY2018'!$B$5:$E$78,3,FALSE)</f>
        <v>105</v>
      </c>
      <c r="E103" s="2" t="str">
        <f>VLOOKUP($B103,'1.3 FY2018'!$B$5:$E$78,4,FALSE)</f>
        <v>Generco Healthcare Ltd</v>
      </c>
      <c r="F103" s="2">
        <f>-SUMIF('1.1 FY2016'!$B:$B,'2.1 Database'!B103,'1.1 FY2016'!$F:$F)</f>
        <v>0</v>
      </c>
      <c r="G103" s="2">
        <f>-SUMIF('1.2 FY2017'!$B:$B,'2.1 Database'!B103,'1.2 FY2017'!$F:$F)</f>
        <v>0</v>
      </c>
      <c r="H103" s="2">
        <f>-SUMIF('1.3 FY2018'!$B:$B,'2.1 Database'!B103,'1.3 FY2018'!$F:$F)</f>
        <v>30913.425999999996</v>
      </c>
      <c r="I103" s="2" t="s">
        <v>74</v>
      </c>
      <c r="K103" s="2">
        <f>COUNTIF('2.2 P&amp;L statement'!$B$4:$B$24,'2.1 Database'!I103)</f>
        <v>1</v>
      </c>
    </row>
    <row r="104" spans="2:11" x14ac:dyDescent="0.15">
      <c r="B104" s="2" t="s">
        <v>216</v>
      </c>
      <c r="C104" s="2" t="str">
        <f>VLOOKUP($B104,'1.3 FY2018'!$B$5:$E$78,2,FALSE)</f>
        <v>Leasings</v>
      </c>
      <c r="D104" s="2">
        <f>VLOOKUP($B104,'1.3 FY2018'!$B$5:$E$78,3,FALSE)</f>
        <v>105</v>
      </c>
      <c r="E104" s="2" t="str">
        <f>VLOOKUP($B104,'1.3 FY2018'!$B$5:$E$78,4,FALSE)</f>
        <v>Generco Healthcare Ltd</v>
      </c>
      <c r="F104" s="2">
        <f>-SUMIF('1.1 FY2016'!$B:$B,'2.1 Database'!B104,'1.1 FY2016'!$F:$F)</f>
        <v>0</v>
      </c>
      <c r="G104" s="2">
        <f>-SUMIF('1.2 FY2017'!$B:$B,'2.1 Database'!B104,'1.2 FY2017'!$F:$F)</f>
        <v>0</v>
      </c>
      <c r="H104" s="2">
        <f>-SUMIF('1.3 FY2018'!$B:$B,'2.1 Database'!B104,'1.3 FY2018'!$F:$F)</f>
        <v>1423120</v>
      </c>
      <c r="I104" s="2" t="s">
        <v>230</v>
      </c>
      <c r="K104" s="2">
        <f>COUNTIF('2.2 P&amp;L statement'!$B$4:$B$24,'2.1 Database'!I104)</f>
        <v>1</v>
      </c>
    </row>
    <row r="105" spans="2:11" x14ac:dyDescent="0.15">
      <c r="B105" s="2" t="s">
        <v>217</v>
      </c>
      <c r="C105" s="2" t="str">
        <f>VLOOKUP($B105,'1.3 FY2018'!$B$5:$E$78,2,FALSE)</f>
        <v>Insurance expenses</v>
      </c>
      <c r="D105" s="2">
        <f>VLOOKUP($B105,'1.3 FY2018'!$B$5:$E$78,3,FALSE)</f>
        <v>88</v>
      </c>
      <c r="E105" s="2" t="str">
        <f>VLOOKUP($B105,'1.3 FY2018'!$B$5:$E$78,4,FALSE)</f>
        <v>Generco Ltd</v>
      </c>
      <c r="F105" s="2">
        <f>-SUMIF('1.1 FY2016'!$B:$B,'2.1 Database'!B105,'1.1 FY2016'!$F:$F)</f>
        <v>0</v>
      </c>
      <c r="G105" s="2">
        <f>-SUMIF('1.2 FY2017'!$B:$B,'2.1 Database'!B105,'1.2 FY2017'!$F:$F)</f>
        <v>0</v>
      </c>
      <c r="H105" s="2">
        <f>-SUMIF('1.3 FY2018'!$B:$B,'2.1 Database'!B105,'1.3 FY2018'!$F:$F)</f>
        <v>-584.66</v>
      </c>
      <c r="I105" s="2" t="s">
        <v>227</v>
      </c>
      <c r="K105" s="2">
        <f>COUNTIF('2.2 P&amp;L statement'!$B$4:$B$24,'2.1 Database'!I105)</f>
        <v>1</v>
      </c>
    </row>
    <row r="106" spans="2:11" x14ac:dyDescent="0.15">
      <c r="B106" s="2" t="s">
        <v>218</v>
      </c>
      <c r="C106" s="2" t="str">
        <f>VLOOKUP($B106,'1.3 FY2018'!$B$5:$E$78,2,FALSE)</f>
        <v>Repairs/Maintenance costs</v>
      </c>
      <c r="D106" s="2">
        <f>VLOOKUP($B106,'1.3 FY2018'!$B$5:$E$78,3,FALSE)</f>
        <v>111111</v>
      </c>
      <c r="E106" s="2" t="str">
        <f>VLOOKUP($B106,'1.3 FY2018'!$B$5:$E$78,4,FALSE)</f>
        <v>External</v>
      </c>
      <c r="F106" s="2">
        <f>-SUMIF('1.1 FY2016'!$B:$B,'2.1 Database'!B106,'1.1 FY2016'!$F:$F)</f>
        <v>0</v>
      </c>
      <c r="G106" s="2">
        <f>-SUMIF('1.2 FY2017'!$B:$B,'2.1 Database'!B106,'1.2 FY2017'!$F:$F)</f>
        <v>0</v>
      </c>
      <c r="H106" s="2">
        <f>-SUMIF('1.3 FY2018'!$B:$B,'2.1 Database'!B106,'1.3 FY2018'!$F:$F)</f>
        <v>-1352.9999999999998</v>
      </c>
      <c r="I106" s="2" t="s">
        <v>227</v>
      </c>
      <c r="K106" s="2">
        <f>COUNTIF('2.2 P&amp;L statement'!$B$4:$B$24,'2.1 Database'!I106)</f>
        <v>1</v>
      </c>
    </row>
    <row r="107" spans="2:11" x14ac:dyDescent="0.15">
      <c r="B107" s="2" t="s">
        <v>219</v>
      </c>
      <c r="C107" s="2" t="str">
        <f>VLOOKUP($B107,'1.3 FY2018'!$B$5:$E$78,2,FALSE)</f>
        <v>Impairment of participation</v>
      </c>
      <c r="D107" s="2">
        <f>VLOOKUP($B107,'1.3 FY2018'!$B$5:$E$78,3,FALSE)</f>
        <v>111101</v>
      </c>
      <c r="E107" s="2" t="str">
        <f>VLOOKUP($B107,'1.3 FY2018'!$B$5:$E$78,4,FALSE)</f>
        <v>Not assigned</v>
      </c>
      <c r="F107" s="2">
        <f>-SUMIF('1.1 FY2016'!$B:$B,'2.1 Database'!B107,'1.1 FY2016'!$F:$F)</f>
        <v>0</v>
      </c>
      <c r="G107" s="2">
        <f>-SUMIF('1.2 FY2017'!$B:$B,'2.1 Database'!B107,'1.2 FY2017'!$F:$F)</f>
        <v>0</v>
      </c>
      <c r="H107" s="2">
        <f>-SUMIF('1.3 FY2018'!$B:$B,'2.1 Database'!B107,'1.3 FY2018'!$F:$F)</f>
        <v>0</v>
      </c>
      <c r="K107" s="2">
        <f>COUNTIF('2.2 P&amp;L statement'!$B$4:$B$24,'2.1 Database'!I107)</f>
        <v>0</v>
      </c>
    </row>
    <row r="108" spans="2:11" x14ac:dyDescent="0.15">
      <c r="B108" s="2" t="s">
        <v>220</v>
      </c>
      <c r="C108" s="2" t="str">
        <f>VLOOKUP($B108,'1.3 FY2018'!$B$5:$E$78,2,FALSE)</f>
        <v>Offset segments (tech.)</v>
      </c>
      <c r="D108" s="2">
        <f>VLOOKUP($B108,'1.3 FY2018'!$B$5:$E$78,3,FALSE)</f>
        <v>111101</v>
      </c>
      <c r="E108" s="2" t="str">
        <f>VLOOKUP($B108,'1.3 FY2018'!$B$5:$E$78,4,FALSE)</f>
        <v>Not assigned</v>
      </c>
      <c r="F108" s="2">
        <f>-SUMIF('1.1 FY2016'!$B:$B,'2.1 Database'!B108,'1.1 FY2016'!$F:$F)</f>
        <v>0</v>
      </c>
      <c r="G108" s="2">
        <f>-SUMIF('1.2 FY2017'!$B:$B,'2.1 Database'!B108,'1.2 FY2017'!$F:$F)</f>
        <v>0</v>
      </c>
      <c r="H108" s="2">
        <f>-SUMIF('1.3 FY2018'!$B:$B,'2.1 Database'!B108,'1.3 FY2018'!$F:$F)</f>
        <v>0</v>
      </c>
      <c r="K108" s="2">
        <f>COUNTIF('2.2 P&amp;L statement'!$B$4:$B$24,'2.1 Database'!I108)</f>
        <v>0</v>
      </c>
    </row>
    <row r="109" spans="2:11" x14ac:dyDescent="0.15">
      <c r="B109" s="2" t="s">
        <v>224</v>
      </c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I109" s="2" t="s">
        <v>224</v>
      </c>
    </row>
    <row r="110" spans="2:11" ht="15" x14ac:dyDescent="0.2">
      <c r="B110"/>
    </row>
    <row r="111" spans="2:11" ht="15" x14ac:dyDescent="0.2">
      <c r="B111"/>
    </row>
    <row r="112" spans="2:11" ht="15" x14ac:dyDescent="0.2">
      <c r="B112"/>
    </row>
    <row r="113" spans="2:2" ht="15" x14ac:dyDescent="0.2">
      <c r="B113"/>
    </row>
    <row r="114" spans="2:2" ht="15" x14ac:dyDescent="0.2">
      <c r="B114"/>
    </row>
    <row r="115" spans="2:2" ht="15" x14ac:dyDescent="0.2">
      <c r="B115"/>
    </row>
    <row r="116" spans="2:2" ht="15" x14ac:dyDescent="0.2">
      <c r="B116"/>
    </row>
    <row r="117" spans="2:2" ht="15" x14ac:dyDescent="0.2">
      <c r="B117"/>
    </row>
    <row r="118" spans="2:2" ht="15" x14ac:dyDescent="0.2">
      <c r="B118"/>
    </row>
    <row r="119" spans="2:2" ht="15" x14ac:dyDescent="0.2">
      <c r="B119"/>
    </row>
    <row r="120" spans="2:2" ht="15" x14ac:dyDescent="0.2">
      <c r="B120"/>
    </row>
    <row r="121" spans="2:2" ht="15" x14ac:dyDescent="0.2">
      <c r="B121"/>
    </row>
    <row r="122" spans="2:2" ht="15" x14ac:dyDescent="0.2">
      <c r="B122"/>
    </row>
    <row r="123" spans="2:2" ht="15" x14ac:dyDescent="0.2">
      <c r="B123"/>
    </row>
    <row r="124" spans="2:2" ht="15" x14ac:dyDescent="0.2">
      <c r="B124"/>
    </row>
    <row r="125" spans="2:2" ht="15" x14ac:dyDescent="0.2">
      <c r="B125"/>
    </row>
    <row r="126" spans="2:2" ht="15" x14ac:dyDescent="0.2">
      <c r="B126"/>
    </row>
    <row r="127" spans="2:2" ht="15" x14ac:dyDescent="0.2">
      <c r="B127"/>
    </row>
    <row r="128" spans="2:2" ht="15" x14ac:dyDescent="0.2">
      <c r="B128"/>
    </row>
    <row r="129" spans="2:2" ht="15" x14ac:dyDescent="0.2">
      <c r="B129"/>
    </row>
    <row r="130" spans="2:2" ht="15" x14ac:dyDescent="0.2">
      <c r="B130"/>
    </row>
    <row r="131" spans="2:2" ht="15" x14ac:dyDescent="0.2">
      <c r="B131"/>
    </row>
    <row r="132" spans="2:2" ht="15" x14ac:dyDescent="0.2">
      <c r="B132"/>
    </row>
    <row r="133" spans="2:2" ht="15" x14ac:dyDescent="0.2">
      <c r="B133"/>
    </row>
    <row r="134" spans="2:2" ht="15" x14ac:dyDescent="0.2">
      <c r="B134"/>
    </row>
    <row r="135" spans="2:2" ht="15" x14ac:dyDescent="0.2">
      <c r="B135"/>
    </row>
    <row r="136" spans="2:2" ht="15" x14ac:dyDescent="0.2">
      <c r="B136"/>
    </row>
    <row r="137" spans="2:2" ht="15" x14ac:dyDescent="0.2">
      <c r="B137"/>
    </row>
    <row r="138" spans="2:2" ht="15" x14ac:dyDescent="0.2">
      <c r="B138"/>
    </row>
    <row r="139" spans="2:2" ht="15" x14ac:dyDescent="0.2">
      <c r="B139"/>
    </row>
    <row r="140" spans="2:2" ht="15" x14ac:dyDescent="0.2">
      <c r="B140"/>
    </row>
    <row r="141" spans="2:2" ht="15" x14ac:dyDescent="0.2">
      <c r="B141"/>
    </row>
    <row r="142" spans="2:2" ht="15" x14ac:dyDescent="0.2">
      <c r="B142"/>
    </row>
    <row r="143" spans="2:2" ht="15" x14ac:dyDescent="0.2">
      <c r="B143"/>
    </row>
    <row r="144" spans="2:2" ht="15" x14ac:dyDescent="0.2">
      <c r="B144"/>
    </row>
    <row r="145" spans="2:2" ht="15" x14ac:dyDescent="0.2">
      <c r="B145"/>
    </row>
    <row r="146" spans="2:2" ht="15" x14ac:dyDescent="0.2">
      <c r="B146"/>
    </row>
    <row r="147" spans="2:2" ht="15" x14ac:dyDescent="0.2">
      <c r="B147"/>
    </row>
    <row r="148" spans="2:2" ht="15" x14ac:dyDescent="0.2">
      <c r="B148"/>
    </row>
    <row r="149" spans="2:2" ht="15" x14ac:dyDescent="0.2">
      <c r="B149"/>
    </row>
    <row r="150" spans="2:2" ht="15" x14ac:dyDescent="0.2">
      <c r="B150"/>
    </row>
    <row r="151" spans="2:2" ht="15" x14ac:dyDescent="0.2">
      <c r="B151"/>
    </row>
    <row r="152" spans="2:2" ht="15" x14ac:dyDescent="0.2">
      <c r="B152"/>
    </row>
    <row r="153" spans="2:2" ht="15" x14ac:dyDescent="0.2">
      <c r="B153"/>
    </row>
    <row r="154" spans="2:2" ht="15" x14ac:dyDescent="0.2">
      <c r="B154"/>
    </row>
    <row r="155" spans="2:2" ht="15" x14ac:dyDescent="0.2">
      <c r="B155"/>
    </row>
    <row r="156" spans="2:2" ht="15" x14ac:dyDescent="0.2">
      <c r="B156"/>
    </row>
    <row r="157" spans="2:2" ht="15" x14ac:dyDescent="0.2">
      <c r="B157"/>
    </row>
    <row r="158" spans="2:2" ht="15" x14ac:dyDescent="0.2">
      <c r="B158"/>
    </row>
    <row r="159" spans="2:2" ht="15" x14ac:dyDescent="0.2">
      <c r="B159"/>
    </row>
    <row r="160" spans="2:2" ht="15" x14ac:dyDescent="0.2">
      <c r="B160"/>
    </row>
    <row r="161" spans="2:2" ht="15" x14ac:dyDescent="0.2">
      <c r="B161"/>
    </row>
    <row r="162" spans="2:2" ht="15" x14ac:dyDescent="0.2">
      <c r="B162"/>
    </row>
    <row r="163" spans="2:2" ht="15" x14ac:dyDescent="0.2">
      <c r="B163"/>
    </row>
    <row r="164" spans="2:2" ht="15" x14ac:dyDescent="0.2">
      <c r="B164"/>
    </row>
    <row r="165" spans="2:2" ht="15" x14ac:dyDescent="0.2">
      <c r="B165"/>
    </row>
    <row r="166" spans="2:2" ht="15" x14ac:dyDescent="0.2">
      <c r="B166"/>
    </row>
    <row r="167" spans="2:2" ht="15" x14ac:dyDescent="0.2">
      <c r="B167"/>
    </row>
    <row r="168" spans="2:2" ht="15" x14ac:dyDescent="0.2">
      <c r="B168"/>
    </row>
    <row r="169" spans="2:2" ht="15" x14ac:dyDescent="0.2">
      <c r="B169"/>
    </row>
    <row r="170" spans="2:2" ht="15" x14ac:dyDescent="0.2">
      <c r="B170"/>
    </row>
    <row r="171" spans="2:2" ht="15" x14ac:dyDescent="0.2">
      <c r="B171"/>
    </row>
    <row r="172" spans="2:2" ht="15" x14ac:dyDescent="0.2">
      <c r="B172"/>
    </row>
    <row r="173" spans="2:2" ht="15" x14ac:dyDescent="0.2">
      <c r="B173"/>
    </row>
    <row r="174" spans="2:2" ht="15" x14ac:dyDescent="0.2">
      <c r="B174"/>
    </row>
    <row r="175" spans="2:2" ht="15" x14ac:dyDescent="0.2">
      <c r="B175"/>
    </row>
    <row r="176" spans="2:2" ht="15" x14ac:dyDescent="0.2">
      <c r="B176"/>
    </row>
    <row r="177" spans="2:2" ht="15" x14ac:dyDescent="0.2">
      <c r="B177"/>
    </row>
    <row r="178" spans="2:2" ht="15" x14ac:dyDescent="0.2">
      <c r="B178"/>
    </row>
    <row r="179" spans="2:2" ht="15" x14ac:dyDescent="0.2">
      <c r="B179"/>
    </row>
    <row r="180" spans="2:2" ht="15" x14ac:dyDescent="0.2">
      <c r="B180"/>
    </row>
    <row r="181" spans="2:2" ht="15" x14ac:dyDescent="0.2">
      <c r="B181"/>
    </row>
    <row r="182" spans="2:2" ht="15" x14ac:dyDescent="0.2">
      <c r="B182"/>
    </row>
    <row r="183" spans="2:2" ht="15" x14ac:dyDescent="0.2">
      <c r="B183"/>
    </row>
    <row r="184" spans="2:2" ht="15" x14ac:dyDescent="0.2">
      <c r="B184"/>
    </row>
    <row r="185" spans="2:2" ht="15" x14ac:dyDescent="0.2">
      <c r="B185"/>
    </row>
    <row r="186" spans="2:2" ht="15" x14ac:dyDescent="0.2">
      <c r="B186"/>
    </row>
    <row r="187" spans="2:2" ht="15" x14ac:dyDescent="0.2">
      <c r="B187"/>
    </row>
    <row r="188" spans="2:2" ht="15" x14ac:dyDescent="0.2">
      <c r="B188"/>
    </row>
    <row r="189" spans="2:2" ht="15" x14ac:dyDescent="0.2">
      <c r="B189"/>
    </row>
    <row r="190" spans="2:2" ht="15" x14ac:dyDescent="0.2">
      <c r="B190"/>
    </row>
    <row r="191" spans="2:2" ht="15" x14ac:dyDescent="0.2">
      <c r="B191"/>
    </row>
    <row r="192" spans="2:2" ht="15" x14ac:dyDescent="0.2">
      <c r="B192"/>
    </row>
    <row r="193" spans="2:2" ht="15" x14ac:dyDescent="0.2">
      <c r="B193"/>
    </row>
    <row r="194" spans="2:2" ht="15" x14ac:dyDescent="0.2">
      <c r="B194"/>
    </row>
    <row r="195" spans="2:2" ht="15" x14ac:dyDescent="0.2">
      <c r="B195"/>
    </row>
    <row r="196" spans="2:2" ht="15" x14ac:dyDescent="0.2">
      <c r="B196"/>
    </row>
    <row r="197" spans="2:2" ht="15" x14ac:dyDescent="0.2">
      <c r="B197"/>
    </row>
    <row r="198" spans="2:2" ht="15" x14ac:dyDescent="0.2">
      <c r="B198"/>
    </row>
    <row r="199" spans="2:2" ht="15" x14ac:dyDescent="0.2">
      <c r="B199"/>
    </row>
    <row r="200" spans="2:2" ht="15" x14ac:dyDescent="0.2">
      <c r="B200"/>
    </row>
    <row r="201" spans="2:2" ht="15" x14ac:dyDescent="0.2">
      <c r="B201"/>
    </row>
    <row r="202" spans="2:2" ht="15" x14ac:dyDescent="0.2">
      <c r="B202"/>
    </row>
    <row r="203" spans="2:2" ht="15" x14ac:dyDescent="0.2">
      <c r="B203"/>
    </row>
    <row r="204" spans="2:2" ht="15" x14ac:dyDescent="0.2">
      <c r="B204"/>
    </row>
    <row r="205" spans="2:2" ht="15" x14ac:dyDescent="0.2">
      <c r="B205"/>
    </row>
    <row r="206" spans="2:2" ht="15" x14ac:dyDescent="0.2">
      <c r="B206"/>
    </row>
    <row r="207" spans="2:2" ht="15" x14ac:dyDescent="0.2">
      <c r="B207"/>
    </row>
    <row r="208" spans="2:2" ht="15" x14ac:dyDescent="0.2">
      <c r="B208"/>
    </row>
    <row r="209" spans="2:2" ht="15" x14ac:dyDescent="0.2">
      <c r="B209"/>
    </row>
    <row r="210" spans="2:2" ht="15" x14ac:dyDescent="0.2">
      <c r="B210"/>
    </row>
    <row r="211" spans="2:2" ht="15" x14ac:dyDescent="0.2">
      <c r="B211"/>
    </row>
    <row r="212" spans="2:2" ht="15" x14ac:dyDescent="0.2">
      <c r="B212"/>
    </row>
    <row r="213" spans="2:2" ht="15" x14ac:dyDescent="0.2">
      <c r="B213"/>
    </row>
    <row r="214" spans="2:2" ht="15" x14ac:dyDescent="0.2">
      <c r="B214"/>
    </row>
    <row r="215" spans="2:2" ht="15" x14ac:dyDescent="0.2">
      <c r="B215"/>
    </row>
    <row r="216" spans="2:2" ht="15" x14ac:dyDescent="0.2">
      <c r="B216"/>
    </row>
  </sheetData>
  <autoFilter ref="B3:K3" xr:uid="{6562710D-6B52-8B4C-8C6D-20316F79B44D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29"/>
  <sheetViews>
    <sheetView workbookViewId="0">
      <selection activeCell="C7" sqref="C7:E7"/>
    </sheetView>
  </sheetViews>
  <sheetFormatPr baseColWidth="10" defaultColWidth="8.83203125" defaultRowHeight="15" x14ac:dyDescent="0.2"/>
  <cols>
    <col min="2" max="2" width="14" customWidth="1"/>
    <col min="3" max="3" width="15.5" customWidth="1"/>
    <col min="4" max="4" width="13.6640625" customWidth="1"/>
    <col min="5" max="5" width="17.1640625" customWidth="1"/>
    <col min="6" max="6" width="3.5" customWidth="1"/>
    <col min="7" max="7" width="16.83203125" customWidth="1"/>
    <col min="8" max="8" width="17.1640625" customWidth="1"/>
  </cols>
  <sheetData>
    <row r="1" spans="2:8" ht="16" x14ac:dyDescent="0.2">
      <c r="B1" s="27" t="s">
        <v>243</v>
      </c>
      <c r="C1" s="26"/>
      <c r="D1" s="26"/>
      <c r="E1" s="26"/>
    </row>
    <row r="2" spans="2:8" x14ac:dyDescent="0.2">
      <c r="B2" s="26"/>
      <c r="C2" s="26"/>
      <c r="D2" s="26"/>
      <c r="E2" s="26"/>
    </row>
    <row r="3" spans="2:8" ht="16" thickBot="1" x14ac:dyDescent="0.25">
      <c r="B3" s="24" t="s">
        <v>244</v>
      </c>
      <c r="C3" s="25" t="s">
        <v>221</v>
      </c>
      <c r="D3" s="25" t="s">
        <v>222</v>
      </c>
      <c r="E3" s="25" t="s">
        <v>223</v>
      </c>
      <c r="G3" s="35" t="s">
        <v>245</v>
      </c>
      <c r="H3" s="35" t="s">
        <v>246</v>
      </c>
    </row>
    <row r="4" spans="2:8" x14ac:dyDescent="0.2">
      <c r="B4" s="26" t="s">
        <v>226</v>
      </c>
      <c r="C4" s="31">
        <f>SUMIF('2.1 Database'!$I:$I,'2.2 P&amp;L statement'!$B4,'2.1 Database'!F:F)/1000000</f>
        <v>14.500341000000001</v>
      </c>
      <c r="D4" s="31">
        <f>SUMIF('2.1 Database'!$I:$I,'2.2 P&amp;L statement'!$B4,'2.1 Database'!G:G)/1000000</f>
        <v>16.148295364999999</v>
      </c>
      <c r="E4" s="31">
        <f>SUMIF('2.1 Database'!$I:$I,'2.2 P&amp;L statement'!$B4,'2.1 Database'!H:H)/1000000</f>
        <v>15.047803019</v>
      </c>
      <c r="G4" s="36">
        <f>+IF(ISERROR((D4/C4)-1),"n.a.",IF(((D4/C4)-1)&gt;1,"&gt;100.0%",IF(((D4/C4)-1)&lt;-1,"&lt;-100.0%",((D4/C4)-1))))</f>
        <v>0.11364935245315944</v>
      </c>
      <c r="H4" s="36">
        <f>+IF(ISERROR((E4/D4)-1),"n.a.",IF(((E4/D4)-1)&gt;1,"&gt;100.0%",IF(((E4/D4)-1)&lt;-1,"&lt;-100.0%",((E4/D4)-1))))</f>
        <v>-6.8149134080444096E-2</v>
      </c>
    </row>
    <row r="5" spans="2:8" x14ac:dyDescent="0.2">
      <c r="B5" s="26" t="s">
        <v>66</v>
      </c>
      <c r="C5" s="31">
        <f>SUMIF('2.1 Database'!$I:$I,'2.2 P&amp;L statement'!$B5,'2.1 Database'!F:F)/1000000</f>
        <v>4.7948561920000001</v>
      </c>
      <c r="D5" s="31">
        <f>SUMIF('2.1 Database'!$I:$I,'2.2 P&amp;L statement'!$B5,'2.1 Database'!G:G)/1000000</f>
        <v>6.9602176449999993</v>
      </c>
      <c r="E5" s="31">
        <f>SUMIF('2.1 Database'!$I:$I,'2.2 P&amp;L statement'!$B5,'2.1 Database'!H:H)/1000000</f>
        <v>6.3736175140000002</v>
      </c>
      <c r="G5" s="36">
        <f t="shared" ref="G5:H24" si="0">+IF(ISERROR((D5/C5)-1),"n.a.",IF(((D5/C5)-1)&gt;1,"&gt;100.0%",IF(((D5/C5)-1)&lt;-1,"&lt;-100.0%",((D5/C5)-1))))</f>
        <v>0.45160091696030569</v>
      </c>
      <c r="H5" s="36">
        <f t="shared" si="0"/>
        <v>-8.4278992542911935E-2</v>
      </c>
    </row>
    <row r="6" spans="2:8" x14ac:dyDescent="0.2">
      <c r="B6" s="26" t="s">
        <v>229</v>
      </c>
      <c r="C6" s="31">
        <f>SUMIF('2.1 Database'!$I:$I,'2.2 P&amp;L statement'!$B6,'2.1 Database'!F:F)/1000000</f>
        <v>3.2200542519999997</v>
      </c>
      <c r="D6" s="31">
        <f>SUMIF('2.1 Database'!$I:$I,'2.2 P&amp;L statement'!$B6,'2.1 Database'!G:G)/1000000</f>
        <v>2.9240919949999999</v>
      </c>
      <c r="E6" s="31">
        <f>SUMIF('2.1 Database'!$I:$I,'2.2 P&amp;L statement'!$B6,'2.1 Database'!H:H)/1000000</f>
        <v>4.8931777299999997</v>
      </c>
      <c r="G6" s="36">
        <f t="shared" si="0"/>
        <v>-9.1912195832158816E-2</v>
      </c>
      <c r="H6" s="36">
        <f t="shared" si="0"/>
        <v>0.67340074743441836</v>
      </c>
    </row>
    <row r="7" spans="2:8" x14ac:dyDescent="0.2">
      <c r="B7" s="28" t="s">
        <v>238</v>
      </c>
      <c r="C7" s="32">
        <f>+SUM(C4:C6)</f>
        <v>22.515251444</v>
      </c>
      <c r="D7" s="32">
        <f>+SUM(D4:D6)</f>
        <v>26.032605005000001</v>
      </c>
      <c r="E7" s="32">
        <f>+SUM(E4:E6)</f>
        <v>26.314598263000001</v>
      </c>
      <c r="G7" s="37">
        <f t="shared" si="0"/>
        <v>0.15622093183140207</v>
      </c>
      <c r="H7" s="37">
        <f t="shared" si="0"/>
        <v>1.0832310402506318E-2</v>
      </c>
    </row>
    <row r="8" spans="2:8" x14ac:dyDescent="0.2">
      <c r="B8" s="26" t="s">
        <v>104</v>
      </c>
      <c r="C8" s="31">
        <f>SUMIF('2.1 Database'!$I:$I,'2.2 P&amp;L statement'!$B8,'2.1 Database'!F:F)/1000000</f>
        <v>-4.4289117640000004</v>
      </c>
      <c r="D8" s="31">
        <f>SUMIF('2.1 Database'!$I:$I,'2.2 P&amp;L statement'!$B8,'2.1 Database'!G:G)/1000000</f>
        <v>-5.4631888250000005</v>
      </c>
      <c r="E8" s="31">
        <f>SUMIF('2.1 Database'!$I:$I,'2.2 P&amp;L statement'!$B8,'2.1 Database'!H:H)/1000000</f>
        <v>-5.6741520669999996</v>
      </c>
      <c r="G8" s="36">
        <f t="shared" si="0"/>
        <v>0.23352848647991253</v>
      </c>
      <c r="H8" s="36">
        <f t="shared" si="0"/>
        <v>3.861540370609462E-2</v>
      </c>
    </row>
    <row r="9" spans="2:8" x14ac:dyDescent="0.2">
      <c r="B9" s="28" t="s">
        <v>239</v>
      </c>
      <c r="C9" s="32">
        <f>+SUM(C7:C8)</f>
        <v>18.086339680000002</v>
      </c>
      <c r="D9" s="32">
        <f>+SUM(D7:D8)</f>
        <v>20.569416180000001</v>
      </c>
      <c r="E9" s="32">
        <f>+SUM(E7:E8)</f>
        <v>20.640446195999999</v>
      </c>
      <c r="G9" s="37">
        <f t="shared" si="0"/>
        <v>0.13729016174266606</v>
      </c>
      <c r="H9" s="37">
        <f t="shared" si="0"/>
        <v>3.4531858064625887E-3</v>
      </c>
    </row>
    <row r="10" spans="2:8" x14ac:dyDescent="0.2">
      <c r="B10" s="26" t="s">
        <v>227</v>
      </c>
      <c r="C10" s="31">
        <f>SUMIF('2.1 Database'!$I:$I,'2.2 P&amp;L statement'!$B10,'2.1 Database'!F:F)/1000000</f>
        <v>-3.3966489799999997</v>
      </c>
      <c r="D10" s="31">
        <f>SUMIF('2.1 Database'!$I:$I,'2.2 P&amp;L statement'!$B10,'2.1 Database'!G:G)/1000000</f>
        <v>-3.7048433449999996</v>
      </c>
      <c r="E10" s="31">
        <f>SUMIF('2.1 Database'!$I:$I,'2.2 P&amp;L statement'!$B10,'2.1 Database'!H:H)/1000000</f>
        <v>-6.6874830379999999</v>
      </c>
      <c r="G10" s="36">
        <f t="shared" si="0"/>
        <v>9.0734829184498045E-2</v>
      </c>
      <c r="H10" s="36">
        <f t="shared" si="0"/>
        <v>0.80506499607475335</v>
      </c>
    </row>
    <row r="11" spans="2:8" x14ac:dyDescent="0.2">
      <c r="B11" s="26" t="s">
        <v>228</v>
      </c>
      <c r="C11" s="31">
        <f>SUMIF('2.1 Database'!$I:$I,'2.2 P&amp;L statement'!$B11,'2.1 Database'!F:F)/1000000</f>
        <v>-6.17073904</v>
      </c>
      <c r="D11" s="31">
        <f>SUMIF('2.1 Database'!$I:$I,'2.2 P&amp;L statement'!$B11,'2.1 Database'!G:G)/1000000</f>
        <v>-8.0718589449999989</v>
      </c>
      <c r="E11" s="31">
        <f>SUMIF('2.1 Database'!$I:$I,'2.2 P&amp;L statement'!$B11,'2.1 Database'!H:H)/1000000</f>
        <v>-5.8358881759999992</v>
      </c>
      <c r="G11" s="36">
        <f t="shared" si="0"/>
        <v>0.30808625882192531</v>
      </c>
      <c r="H11" s="36">
        <f t="shared" si="0"/>
        <v>-0.27700815688622027</v>
      </c>
    </row>
    <row r="12" spans="2:8" x14ac:dyDescent="0.2">
      <c r="B12" s="26" t="s">
        <v>230</v>
      </c>
      <c r="C12" s="31">
        <f>SUMIF('2.1 Database'!$I:$I,'2.2 P&amp;L statement'!$B12,'2.1 Database'!F:F)/1000000</f>
        <v>-1.127445872</v>
      </c>
      <c r="D12" s="31">
        <f>SUMIF('2.1 Database'!$I:$I,'2.2 P&amp;L statement'!$B12,'2.1 Database'!G:G)/1000000</f>
        <v>-1.0553814750000001</v>
      </c>
      <c r="E12" s="31">
        <f>SUMIF('2.1 Database'!$I:$I,'2.2 P&amp;L statement'!$B12,'2.1 Database'!H:H)/1000000</f>
        <v>1.596053449</v>
      </c>
      <c r="G12" s="36">
        <f t="shared" si="0"/>
        <v>-6.391827651305626E-2</v>
      </c>
      <c r="H12" s="36" t="str">
        <f t="shared" si="0"/>
        <v>&lt;-100.0%</v>
      </c>
    </row>
    <row r="13" spans="2:8" x14ac:dyDescent="0.2">
      <c r="B13" s="26" t="s">
        <v>231</v>
      </c>
      <c r="C13" s="31">
        <f>SUMIF('2.1 Database'!$I:$I,'2.2 P&amp;L statement'!$B13,'2.1 Database'!F:F)/1000000</f>
        <v>-2.5430882079999995</v>
      </c>
      <c r="D13" s="31">
        <f>SUMIF('2.1 Database'!$I:$I,'2.2 P&amp;L statement'!$B13,'2.1 Database'!G:G)/1000000</f>
        <v>-1.837786345</v>
      </c>
      <c r="E13" s="31">
        <f>SUMIF('2.1 Database'!$I:$I,'2.2 P&amp;L statement'!$B13,'2.1 Database'!H:H)/1000000</f>
        <v>-1.9549839309999999</v>
      </c>
      <c r="G13" s="36">
        <f t="shared" si="0"/>
        <v>-0.27734069969782171</v>
      </c>
      <c r="H13" s="36">
        <f t="shared" si="0"/>
        <v>6.3771061483210545E-2</v>
      </c>
    </row>
    <row r="14" spans="2:8" x14ac:dyDescent="0.2">
      <c r="B14" s="26" t="s">
        <v>232</v>
      </c>
      <c r="C14" s="31">
        <f>SUMIF('2.1 Database'!$I:$I,'2.2 P&amp;L statement'!$B14,'2.1 Database'!F:F)/1000000</f>
        <v>-1.8135250039999999</v>
      </c>
      <c r="D14" s="31">
        <f>SUMIF('2.1 Database'!$I:$I,'2.2 P&amp;L statement'!$B14,'2.1 Database'!G:G)/1000000</f>
        <v>-2.3932591899999998</v>
      </c>
      <c r="E14" s="31">
        <f>SUMIF('2.1 Database'!$I:$I,'2.2 P&amp;L statement'!$B14,'2.1 Database'!H:H)/1000000</f>
        <v>-2.5144318869999998</v>
      </c>
      <c r="G14" s="36">
        <f t="shared" si="0"/>
        <v>0.31967256294857238</v>
      </c>
      <c r="H14" s="36">
        <f t="shared" si="0"/>
        <v>5.0630829082912721E-2</v>
      </c>
    </row>
    <row r="15" spans="2:8" x14ac:dyDescent="0.2">
      <c r="B15" s="26" t="s">
        <v>74</v>
      </c>
      <c r="C15" s="31">
        <f>SUMIF('2.1 Database'!$I:$I,'2.2 P&amp;L statement'!$B15,'2.1 Database'!F:F)/1000000</f>
        <v>5.7221999999999995E-5</v>
      </c>
      <c r="D15" s="31">
        <f>SUMIF('2.1 Database'!$I:$I,'2.2 P&amp;L statement'!$B15,'2.1 Database'!G:G)/1000000</f>
        <v>-7.3574899999999995E-3</v>
      </c>
      <c r="E15" s="31">
        <f>SUMIF('2.1 Database'!$I:$I,'2.2 P&amp;L statement'!$B15,'2.1 Database'!H:H)/1000000</f>
        <v>4.678542799999999E-2</v>
      </c>
      <c r="G15" s="36" t="str">
        <f t="shared" si="0"/>
        <v>&lt;-100.0%</v>
      </c>
      <c r="H15" s="36" t="str">
        <f t="shared" si="0"/>
        <v>&lt;-100.0%</v>
      </c>
    </row>
    <row r="16" spans="2:8" x14ac:dyDescent="0.2">
      <c r="B16" s="26" t="s">
        <v>67</v>
      </c>
      <c r="C16" s="31">
        <f>SUMIF('2.1 Database'!$I:$I,'2.2 P&amp;L statement'!$B16,'2.1 Database'!F:F)/1000000</f>
        <v>5.2683321979999995</v>
      </c>
      <c r="D16" s="31">
        <f>SUMIF('2.1 Database'!$I:$I,'2.2 P&amp;L statement'!$B16,'2.1 Database'!G:G)/1000000</f>
        <v>0.74482694999999999</v>
      </c>
      <c r="E16" s="31">
        <f>SUMIF('2.1 Database'!$I:$I,'2.2 P&amp;L statement'!$B16,'2.1 Database'!H:H)/1000000</f>
        <v>0</v>
      </c>
      <c r="G16" s="36">
        <f t="shared" si="0"/>
        <v>-0.85862187082986985</v>
      </c>
      <c r="H16" s="36">
        <f t="shared" si="0"/>
        <v>-1</v>
      </c>
    </row>
    <row r="17" spans="2:8" x14ac:dyDescent="0.2">
      <c r="B17" s="29" t="s">
        <v>240</v>
      </c>
      <c r="C17" s="33">
        <f>+SUM(C9:C16)</f>
        <v>8.3032819960000026</v>
      </c>
      <c r="D17" s="33">
        <f>+SUM(D9:D16)</f>
        <v>4.2437563400000018</v>
      </c>
      <c r="E17" s="33">
        <f>+SUM(E9:E16)</f>
        <v>5.2904980409999993</v>
      </c>
      <c r="G17" s="38">
        <f t="shared" si="0"/>
        <v>-0.48890615276653548</v>
      </c>
      <c r="H17" s="38">
        <f t="shared" si="0"/>
        <v>0.24665452423217982</v>
      </c>
    </row>
    <row r="18" spans="2:8" x14ac:dyDescent="0.2">
      <c r="B18" s="26" t="s">
        <v>72</v>
      </c>
      <c r="C18" s="31">
        <f>SUMIF('2.1 Database'!$I:$I,'2.2 P&amp;L statement'!$B18,'2.1 Database'!F:F)/1000000</f>
        <v>-2.045243514</v>
      </c>
      <c r="D18" s="31">
        <f>SUMIF('2.1 Database'!$I:$I,'2.2 P&amp;L statement'!$B18,'2.1 Database'!G:G)/1000000</f>
        <v>-2.0440058150000002</v>
      </c>
      <c r="E18" s="31">
        <f>SUMIF('2.1 Database'!$I:$I,'2.2 P&amp;L statement'!$B18,'2.1 Database'!H:H)/1000000</f>
        <v>-1.8883615140000001</v>
      </c>
      <c r="G18" s="36">
        <f t="shared" si="0"/>
        <v>-6.0515972378227811E-4</v>
      </c>
      <c r="H18" s="36">
        <f t="shared" si="0"/>
        <v>-7.6146701666795491E-2</v>
      </c>
    </row>
    <row r="19" spans="2:8" x14ac:dyDescent="0.2">
      <c r="B19" s="28" t="s">
        <v>241</v>
      </c>
      <c r="C19" s="32">
        <f>+SUM(C17:C18)</f>
        <v>6.2580384820000026</v>
      </c>
      <c r="D19" s="32">
        <f>+SUM(D17:D18)</f>
        <v>2.1997505250000016</v>
      </c>
      <c r="E19" s="32">
        <f>+SUM(E17:E18)</f>
        <v>3.4021365269999992</v>
      </c>
      <c r="G19" s="37">
        <f t="shared" si="0"/>
        <v>-0.64849201050342775</v>
      </c>
      <c r="H19" s="37">
        <f t="shared" si="0"/>
        <v>0.54660107513782585</v>
      </c>
    </row>
    <row r="20" spans="2:8" x14ac:dyDescent="0.2">
      <c r="B20" s="26" t="s">
        <v>233</v>
      </c>
      <c r="C20" s="31">
        <f>SUMIF('2.1 Database'!$I:$I,'2.2 P&amp;L statement'!$B20,'2.1 Database'!F:F)/1000000</f>
        <v>-2.8426923660000001</v>
      </c>
      <c r="D20" s="31">
        <f>SUMIF('2.1 Database'!$I:$I,'2.2 P&amp;L statement'!$B20,'2.1 Database'!G:G)/1000000</f>
        <v>-2.7107469200000001</v>
      </c>
      <c r="E20" s="31">
        <f>SUMIF('2.1 Database'!$I:$I,'2.2 P&amp;L statement'!$B20,'2.1 Database'!H:H)/1000000</f>
        <v>-2.250707829</v>
      </c>
      <c r="G20" s="36">
        <f t="shared" si="0"/>
        <v>-4.6415661285805099E-2</v>
      </c>
      <c r="H20" s="36">
        <f t="shared" si="0"/>
        <v>-0.16970934748862498</v>
      </c>
    </row>
    <row r="21" spans="2:8" x14ac:dyDescent="0.2">
      <c r="B21" s="26" t="s">
        <v>234</v>
      </c>
      <c r="C21" s="31">
        <f>SUMIF('2.1 Database'!$I:$I,'2.2 P&amp;L statement'!$B21,'2.1 Database'!F:F)/1000000</f>
        <v>-2.2762999999999999E-2</v>
      </c>
      <c r="D21" s="31">
        <f>SUMIF('2.1 Database'!$I:$I,'2.2 P&amp;L statement'!$B21,'2.1 Database'!G:G)/1000000</f>
        <v>-4.5786198000000002</v>
      </c>
      <c r="E21" s="31">
        <f>SUMIF('2.1 Database'!$I:$I,'2.2 P&amp;L statement'!$B21,'2.1 Database'!H:H)/1000000</f>
        <v>-7.1731959999999989E-3</v>
      </c>
      <c r="G21" s="36" t="str">
        <f t="shared" si="0"/>
        <v>&gt;100.0%</v>
      </c>
      <c r="H21" s="36">
        <f t="shared" si="0"/>
        <v>-0.99843332787754069</v>
      </c>
    </row>
    <row r="22" spans="2:8" x14ac:dyDescent="0.2">
      <c r="B22" s="28" t="s">
        <v>242</v>
      </c>
      <c r="C22" s="32">
        <f>+SUM(C19:C21)</f>
        <v>3.3925831160000026</v>
      </c>
      <c r="D22" s="32">
        <f>+SUM(D19:D21)</f>
        <v>-5.0896161949999987</v>
      </c>
      <c r="E22" s="32">
        <f>+SUM(E19:E21)</f>
        <v>1.1442555019999991</v>
      </c>
      <c r="G22" s="37" t="str">
        <f t="shared" si="0"/>
        <v>&lt;-100.0%</v>
      </c>
      <c r="H22" s="37" t="str">
        <f t="shared" si="0"/>
        <v>&lt;-100.0%</v>
      </c>
    </row>
    <row r="23" spans="2:8" x14ac:dyDescent="0.2">
      <c r="B23" s="26" t="s">
        <v>235</v>
      </c>
      <c r="C23" s="31">
        <f>SUMIF('2.1 Database'!$I:$I,'2.2 P&amp;L statement'!$B23,'2.1 Database'!F:F)/1000000</f>
        <v>-0.48846512199999997</v>
      </c>
      <c r="D23" s="31">
        <f>SUMIF('2.1 Database'!$I:$I,'2.2 P&amp;L statement'!$B23,'2.1 Database'!G:G)/1000000</f>
        <v>-0.98419196500000017</v>
      </c>
      <c r="E23" s="31">
        <f>SUMIF('2.1 Database'!$I:$I,'2.2 P&amp;L statement'!$B23,'2.1 Database'!H:H)/1000000</f>
        <v>-0.36496502599999997</v>
      </c>
      <c r="G23" s="36" t="str">
        <f t="shared" si="0"/>
        <v>&gt;100.0%</v>
      </c>
      <c r="H23" s="36">
        <f t="shared" si="0"/>
        <v>-0.62917292664546398</v>
      </c>
    </row>
    <row r="24" spans="2:8" ht="16" thickBot="1" x14ac:dyDescent="0.25">
      <c r="B24" s="30" t="s">
        <v>236</v>
      </c>
      <c r="C24" s="34">
        <f>+SUM(C22:C23)</f>
        <v>2.9041179940000026</v>
      </c>
      <c r="D24" s="34">
        <f>+SUM(D22:D23)</f>
        <v>-6.0738081599999987</v>
      </c>
      <c r="E24" s="34">
        <f>+SUM(E22:E23)</f>
        <v>0.77929047599999923</v>
      </c>
      <c r="G24" s="39" t="str">
        <f t="shared" si="0"/>
        <v>&lt;-100.0%</v>
      </c>
      <c r="H24" s="39" t="str">
        <f t="shared" si="0"/>
        <v>&lt;-100.0%</v>
      </c>
    </row>
    <row r="26" spans="2:8" x14ac:dyDescent="0.2">
      <c r="B26" s="40" t="s">
        <v>247</v>
      </c>
      <c r="C26" s="41"/>
      <c r="D26" s="41"/>
      <c r="E26" s="41"/>
    </row>
    <row r="27" spans="2:8" x14ac:dyDescent="0.2">
      <c r="B27" s="40" t="s">
        <v>248</v>
      </c>
      <c r="C27" s="42">
        <f>C9/C$7</f>
        <v>0.80329281353949789</v>
      </c>
      <c r="D27" s="42">
        <f t="shared" ref="D27:E27" si="1">D9/D$7</f>
        <v>0.79014052477841912</v>
      </c>
      <c r="E27" s="42">
        <f t="shared" si="1"/>
        <v>0.78437246085651935</v>
      </c>
    </row>
    <row r="28" spans="2:8" x14ac:dyDescent="0.2">
      <c r="B28" s="40" t="s">
        <v>249</v>
      </c>
      <c r="C28" s="42">
        <f>C17/C$7</f>
        <v>0.36878477758296191</v>
      </c>
      <c r="D28" s="42">
        <f t="shared" ref="D28:E28" si="2">D17/D$7</f>
        <v>0.16301696811306118</v>
      </c>
      <c r="E28" s="42">
        <f t="shared" si="2"/>
        <v>0.20104802619916018</v>
      </c>
    </row>
    <row r="29" spans="2:8" x14ac:dyDescent="0.2">
      <c r="B29" s="40" t="s">
        <v>250</v>
      </c>
      <c r="C29" s="42">
        <f>C19/C$7</f>
        <v>0.2779466397506159</v>
      </c>
      <c r="D29" s="42">
        <f t="shared" ref="D29:E29" si="3">D19/D$7</f>
        <v>8.4499823378317393E-2</v>
      </c>
      <c r="E29" s="42">
        <f t="shared" si="3"/>
        <v>0.12928704033394345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Q33"/>
  <sheetViews>
    <sheetView workbookViewId="0">
      <selection activeCell="B7" sqref="B7:E7"/>
    </sheetView>
  </sheetViews>
  <sheetFormatPr baseColWidth="10" defaultColWidth="8.83203125" defaultRowHeight="15" x14ac:dyDescent="0.2"/>
  <sheetData>
    <row r="1" spans="1:17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2">
      <c r="A3" s="1"/>
      <c r="B3" s="1"/>
      <c r="C3" s="1" t="s">
        <v>252</v>
      </c>
      <c r="D3" s="1" t="s">
        <v>253</v>
      </c>
      <c r="E3" s="1" t="s">
        <v>254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">
      <c r="A4" s="1"/>
      <c r="B4" s="26" t="s">
        <v>226</v>
      </c>
      <c r="C4" s="31">
        <f>SUMIF('2.1 Database'!$I:$I,'2.2 P&amp;L statement'!$B4,'2.1 Database'!F:F)/1000000</f>
        <v>14.500341000000001</v>
      </c>
      <c r="D4" s="31">
        <f>SUMIF('2.1 Database'!$I:$I,'2.2 P&amp;L statement'!$B4,'2.1 Database'!G:G)/1000000</f>
        <v>16.148295364999999</v>
      </c>
      <c r="E4" s="31">
        <f>SUMIF('2.1 Database'!$I:$I,'2.2 P&amp;L statement'!$B4,'2.1 Database'!H:H)/1000000</f>
        <v>15.047803019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">
      <c r="A5" s="1"/>
      <c r="B5" s="26" t="s">
        <v>66</v>
      </c>
      <c r="C5" s="31">
        <f>SUMIF('2.1 Database'!$I:$I,'2.2 P&amp;L statement'!$B5,'2.1 Database'!F:F)/1000000</f>
        <v>4.7948561920000001</v>
      </c>
      <c r="D5" s="31">
        <f>SUMIF('2.1 Database'!$I:$I,'2.2 P&amp;L statement'!$B5,'2.1 Database'!G:G)/1000000</f>
        <v>6.9602176449999993</v>
      </c>
      <c r="E5" s="31">
        <f>SUMIF('2.1 Database'!$I:$I,'2.2 P&amp;L statement'!$B5,'2.1 Database'!H:H)/1000000</f>
        <v>6.3736175140000002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">
      <c r="A6" s="1"/>
      <c r="B6" s="26" t="s">
        <v>229</v>
      </c>
      <c r="C6" s="31">
        <f>SUMIF('2.1 Database'!$I:$I,'2.2 P&amp;L statement'!$B6,'2.1 Database'!F:F)/1000000</f>
        <v>3.2200542519999997</v>
      </c>
      <c r="D6" s="31">
        <f>SUMIF('2.1 Database'!$I:$I,'2.2 P&amp;L statement'!$B6,'2.1 Database'!G:G)/1000000</f>
        <v>2.9240919949999999</v>
      </c>
      <c r="E6" s="31">
        <f>SUMIF('2.1 Database'!$I:$I,'2.2 P&amp;L statement'!$B6,'2.1 Database'!H:H)/1000000</f>
        <v>4.8931777299999997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26" t="s">
        <v>251</v>
      </c>
      <c r="C7" s="43">
        <v>0.80300000000000005</v>
      </c>
      <c r="D7" s="43">
        <v>0.79</v>
      </c>
      <c r="E7" s="43">
        <v>0.78400000000000003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4:E6"/>
  <sheetViews>
    <sheetView workbookViewId="0">
      <selection activeCell="M7" sqref="M7"/>
    </sheetView>
  </sheetViews>
  <sheetFormatPr baseColWidth="10" defaultColWidth="8.83203125" defaultRowHeight="15" x14ac:dyDescent="0.2"/>
  <sheetData>
    <row r="4" spans="2:5" x14ac:dyDescent="0.2">
      <c r="B4" s="26" t="s">
        <v>226</v>
      </c>
      <c r="C4" s="31">
        <f>SUMIF('2.1 Database'!$I:$I,'2.2 P&amp;L statement'!$B4,'2.1 Database'!F:F)/1000000</f>
        <v>14.500341000000001</v>
      </c>
      <c r="D4" s="31">
        <f>SUMIF('2.1 Database'!$I:$I,'2.2 P&amp;L statement'!$B4,'2.1 Database'!G:G)/1000000</f>
        <v>16.148295364999999</v>
      </c>
      <c r="E4" s="31">
        <f>SUMIF('2.1 Database'!$I:$I,'2.2 P&amp;L statement'!$B4,'2.1 Database'!H:H)/1000000</f>
        <v>15.047803019</v>
      </c>
    </row>
    <row r="5" spans="2:5" x14ac:dyDescent="0.2">
      <c r="B5" s="26" t="s">
        <v>66</v>
      </c>
      <c r="C5" s="31">
        <f>SUMIF('2.1 Database'!$I:$I,'2.2 P&amp;L statement'!$B5,'2.1 Database'!F:F)/1000000</f>
        <v>4.7948561920000001</v>
      </c>
      <c r="D5" s="31">
        <f>SUMIF('2.1 Database'!$I:$I,'2.2 P&amp;L statement'!$B5,'2.1 Database'!G:G)/1000000</f>
        <v>6.9602176449999993</v>
      </c>
      <c r="E5" s="31">
        <f>SUMIF('2.1 Database'!$I:$I,'2.2 P&amp;L statement'!$B5,'2.1 Database'!H:H)/1000000</f>
        <v>6.3736175140000002</v>
      </c>
    </row>
    <row r="6" spans="2:5" x14ac:dyDescent="0.2">
      <c r="B6" s="26" t="s">
        <v>229</v>
      </c>
      <c r="C6" s="31">
        <f>SUMIF('2.1 Database'!$I:$I,'2.2 P&amp;L statement'!$B6,'2.1 Database'!F:F)/1000000</f>
        <v>3.2200542519999997</v>
      </c>
      <c r="D6" s="31">
        <f>SUMIF('2.1 Database'!$I:$I,'2.2 P&amp;L statement'!$B6,'2.1 Database'!G:G)/1000000</f>
        <v>2.9240919949999999</v>
      </c>
      <c r="E6" s="31">
        <f>SUMIF('2.1 Database'!$I:$I,'2.2 P&amp;L statement'!$B6,'2.1 Database'!H:H)/1000000</f>
        <v>4.8931777299999997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3:E5"/>
  <sheetViews>
    <sheetView workbookViewId="0">
      <selection activeCell="R9" sqref="R9"/>
    </sheetView>
  </sheetViews>
  <sheetFormatPr baseColWidth="10" defaultColWidth="8.83203125" defaultRowHeight="15" x14ac:dyDescent="0.2"/>
  <sheetData>
    <row r="3" spans="2:5" x14ac:dyDescent="0.2">
      <c r="C3" t="s">
        <v>255</v>
      </c>
      <c r="D3" t="s">
        <v>256</v>
      </c>
      <c r="E3" t="s">
        <v>257</v>
      </c>
    </row>
    <row r="4" spans="2:5" x14ac:dyDescent="0.2">
      <c r="B4" s="28" t="s">
        <v>238</v>
      </c>
      <c r="C4" s="44">
        <v>22.515251444</v>
      </c>
      <c r="D4" s="44">
        <v>26.032605005000001</v>
      </c>
      <c r="E4" s="44">
        <v>26.314598263000001</v>
      </c>
    </row>
    <row r="5" spans="2:5" x14ac:dyDescent="0.2">
      <c r="B5" s="26" t="s">
        <v>251</v>
      </c>
      <c r="C5" s="43">
        <v>0.80300000000000005</v>
      </c>
      <c r="D5" s="43">
        <v>0.79</v>
      </c>
      <c r="E5" s="43">
        <v>0.78400000000000003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4:C17"/>
  <sheetViews>
    <sheetView tabSelected="1" workbookViewId="0">
      <selection activeCell="O8" sqref="O8"/>
    </sheetView>
  </sheetViews>
  <sheetFormatPr baseColWidth="10" defaultColWidth="8.83203125" defaultRowHeight="15" x14ac:dyDescent="0.2"/>
  <cols>
    <col min="2" max="2" width="20.6640625" customWidth="1"/>
    <col min="3" max="3" width="16.5" customWidth="1"/>
  </cols>
  <sheetData>
    <row r="4" spans="2:3" x14ac:dyDescent="0.2">
      <c r="B4" s="45" t="s">
        <v>258</v>
      </c>
      <c r="C4" s="45">
        <f>'2.2 P&amp;L statement'!D17</f>
        <v>4.2437563400000018</v>
      </c>
    </row>
    <row r="5" spans="2:3" x14ac:dyDescent="0.2">
      <c r="B5" s="45" t="s">
        <v>259</v>
      </c>
      <c r="C5" s="47">
        <f>'2.2 P&amp;L statement'!E7-'2.2 P&amp;L statement'!D7</f>
        <v>0.28199325799999997</v>
      </c>
    </row>
    <row r="6" spans="2:3" ht="27" x14ac:dyDescent="0.2">
      <c r="B6" s="46" t="s">
        <v>260</v>
      </c>
      <c r="C6" s="31">
        <f>'2.2 P&amp;L statement'!E8-'2.2 P&amp;L statement'!D8</f>
        <v>-0.21096324199999916</v>
      </c>
    </row>
    <row r="7" spans="2:3" x14ac:dyDescent="0.2">
      <c r="B7" s="45" t="s">
        <v>261</v>
      </c>
      <c r="C7" s="31">
        <f>SUM('2.2 P&amp;L statement'!E10:E16)-SUM('2.2 P&amp;L statement'!D10:D16)</f>
        <v>0.97571168500000027</v>
      </c>
    </row>
    <row r="8" spans="2:3" x14ac:dyDescent="0.2">
      <c r="B8" s="45" t="s">
        <v>262</v>
      </c>
      <c r="C8" s="31">
        <f>'2.2 P&amp;L statement'!E17</f>
        <v>5.2904980409999993</v>
      </c>
    </row>
    <row r="10" spans="2:3" x14ac:dyDescent="0.2">
      <c r="B10" s="26"/>
    </row>
    <row r="11" spans="2:3" x14ac:dyDescent="0.2">
      <c r="B11" s="26"/>
    </row>
    <row r="12" spans="2:3" x14ac:dyDescent="0.2">
      <c r="B12" s="26"/>
    </row>
    <row r="13" spans="2:3" x14ac:dyDescent="0.2">
      <c r="C13" s="33"/>
    </row>
    <row r="17" spans="2:2" x14ac:dyDescent="0.2">
      <c r="B17" s="29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2020-05-19T19:29:01Z</dcterms:modified>
</cp:coreProperties>
</file>